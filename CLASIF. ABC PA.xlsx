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cuments\"/>
    </mc:Choice>
  </mc:AlternateContent>
  <xr:revisionPtr revIDLastSave="0" documentId="13_ncr:1_{E4915C09-DB09-44F2-9339-03D3D5B2A9A1}" xr6:coauthVersionLast="47" xr6:coauthVersionMax="47" xr10:uidLastSave="{00000000-0000-0000-0000-000000000000}"/>
  <bookViews>
    <workbookView xWindow="-108" yWindow="-108" windowWidth="23256" windowHeight="12456" xr2:uid="{64FD278C-DEDD-4ABA-B3FF-69D2F81DF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6" i="1"/>
  <c r="F22" i="1"/>
  <c r="F28" i="1"/>
  <c r="F24" i="1"/>
  <c r="F20" i="1"/>
  <c r="F40" i="1"/>
  <c r="F14" i="1"/>
  <c r="F16" i="1"/>
  <c r="F12" i="1"/>
  <c r="F17" i="1"/>
  <c r="F91" i="1"/>
  <c r="F41" i="1"/>
  <c r="F29" i="1"/>
  <c r="F37" i="1"/>
  <c r="F53" i="1"/>
  <c r="F82" i="1"/>
  <c r="F60" i="1"/>
  <c r="F48" i="1"/>
  <c r="F66" i="1"/>
  <c r="F50" i="1"/>
  <c r="F43" i="1"/>
  <c r="F38" i="1"/>
  <c r="F33" i="1"/>
  <c r="F52" i="1"/>
  <c r="F32" i="1"/>
  <c r="F63" i="1"/>
  <c r="F26" i="1"/>
  <c r="F19" i="1"/>
  <c r="F34" i="1"/>
  <c r="F7" i="1"/>
  <c r="F21" i="1"/>
  <c r="F9" i="1"/>
  <c r="F10" i="1"/>
  <c r="F25" i="1"/>
  <c r="F23" i="1"/>
  <c r="F13" i="1"/>
  <c r="F8" i="1"/>
  <c r="F80" i="1"/>
  <c r="F58" i="1"/>
  <c r="F61" i="1"/>
  <c r="F83" i="1"/>
  <c r="F54" i="1"/>
  <c r="F46" i="1"/>
  <c r="F47" i="1"/>
  <c r="F35" i="1"/>
  <c r="F15" i="1"/>
  <c r="F76" i="1"/>
  <c r="F57" i="1"/>
  <c r="F72" i="1"/>
  <c r="F85" i="1"/>
  <c r="F84" i="1"/>
  <c r="F81" i="1"/>
  <c r="F87" i="1"/>
  <c r="F79" i="1"/>
  <c r="F74" i="1"/>
  <c r="F68" i="1"/>
  <c r="F56" i="1"/>
  <c r="F31" i="1"/>
  <c r="F69" i="1"/>
  <c r="F44" i="1"/>
  <c r="F77" i="1"/>
  <c r="F70" i="1"/>
  <c r="F65" i="1"/>
  <c r="F6" i="1"/>
  <c r="F11" i="1"/>
  <c r="F71" i="1"/>
  <c r="F51" i="1"/>
  <c r="F75" i="1"/>
  <c r="F86" i="1"/>
  <c r="F90" i="1"/>
  <c r="F89" i="1"/>
  <c r="F94" i="1"/>
  <c r="F93" i="1"/>
  <c r="F92" i="1"/>
  <c r="F88" i="1"/>
  <c r="F78" i="1"/>
  <c r="F64" i="1"/>
  <c r="F55" i="1"/>
  <c r="F73" i="1"/>
  <c r="F45" i="1"/>
  <c r="F62" i="1"/>
  <c r="F49" i="1"/>
  <c r="F59" i="1"/>
  <c r="F39" i="1"/>
  <c r="F42" i="1"/>
  <c r="F30" i="1"/>
  <c r="F67" i="1"/>
  <c r="F18" i="1"/>
  <c r="F36" i="1"/>
  <c r="F27" i="1"/>
  <c r="F95" i="1" l="1"/>
  <c r="G14" i="1" s="1"/>
  <c r="G71" i="1" l="1"/>
  <c r="G83" i="1"/>
  <c r="G66" i="1"/>
  <c r="G18" i="1"/>
  <c r="G64" i="1"/>
  <c r="G22" i="1"/>
  <c r="G52" i="1"/>
  <c r="G80" i="1"/>
  <c r="G59" i="1"/>
  <c r="G26" i="1"/>
  <c r="G76" i="1"/>
  <c r="G81" i="1"/>
  <c r="G43" i="1"/>
  <c r="G42" i="1"/>
  <c r="G15" i="1"/>
  <c r="G58" i="1"/>
  <c r="G49" i="1"/>
  <c r="G23" i="1"/>
  <c r="G67" i="1"/>
  <c r="G44" i="1"/>
  <c r="G34" i="1"/>
  <c r="G33" i="1"/>
  <c r="G79" i="1"/>
  <c r="G9" i="1"/>
  <c r="G61" i="1"/>
  <c r="G27" i="1"/>
  <c r="G46" i="1"/>
  <c r="G24" i="1"/>
  <c r="G75" i="1"/>
  <c r="G8" i="1"/>
  <c r="G89" i="1"/>
  <c r="G70" i="1"/>
  <c r="G17" i="1"/>
  <c r="G56" i="1"/>
  <c r="G57" i="1"/>
  <c r="G12" i="1"/>
  <c r="G93" i="1"/>
  <c r="G25" i="1"/>
  <c r="G21" i="1"/>
  <c r="G84" i="1"/>
  <c r="G41" i="1"/>
  <c r="G78" i="1"/>
  <c r="G35" i="1"/>
  <c r="G40" i="1"/>
  <c r="G90" i="1"/>
  <c r="G29" i="1"/>
  <c r="G72" i="1"/>
  <c r="G65" i="1"/>
  <c r="G63" i="1"/>
  <c r="G6" i="1"/>
  <c r="G60" i="1"/>
  <c r="G62" i="1"/>
  <c r="G54" i="1"/>
  <c r="G73" i="1"/>
  <c r="G69" i="1"/>
  <c r="G50" i="1"/>
  <c r="G39" i="1"/>
  <c r="G87" i="1"/>
  <c r="G37" i="1"/>
  <c r="G55" i="1"/>
  <c r="G16" i="1"/>
  <c r="G94" i="1"/>
  <c r="G32" i="1"/>
  <c r="G36" i="1"/>
  <c r="G85" i="1"/>
  <c r="G28" i="1"/>
  <c r="G51" i="1"/>
  <c r="G19" i="1"/>
  <c r="G53" i="1"/>
  <c r="G77" i="1"/>
  <c r="G38" i="1"/>
  <c r="G30" i="1"/>
  <c r="G47" i="1"/>
  <c r="G92" i="1"/>
  <c r="G48" i="1"/>
  <c r="G11" i="1"/>
  <c r="G68" i="1"/>
  <c r="G82" i="1"/>
  <c r="G45" i="1"/>
  <c r="G10" i="1"/>
  <c r="G74" i="1"/>
  <c r="G31" i="1"/>
  <c r="G91" i="1"/>
  <c r="G88" i="1"/>
  <c r="G13" i="1"/>
  <c r="G20" i="1"/>
  <c r="G86" i="1"/>
  <c r="G7" i="1"/>
  <c r="H6" i="1" s="1"/>
  <c r="H7" i="1" l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</calcChain>
</file>

<file path=xl/sharedStrings.xml><?xml version="1.0" encoding="utf-8"?>
<sst xmlns="http://schemas.openxmlformats.org/spreadsheetml/2006/main" count="100" uniqueCount="100">
  <si>
    <t>DESCRIPCION</t>
  </si>
  <si>
    <t>STOCK</t>
  </si>
  <si>
    <t>TUBO RECT 40X60X1.2 GALV</t>
  </si>
  <si>
    <t>TUBO RECT 40X60X1.5 GALV</t>
  </si>
  <si>
    <t>TUBO RECT 40X60X1.8 GALV</t>
  </si>
  <si>
    <t>TUBO RECT 40X80X1.2 GALV</t>
  </si>
  <si>
    <t>TUBO RECT 40X80X1.5 GALV</t>
  </si>
  <si>
    <t>TUBO RECT 40X80X1.8 GALV</t>
  </si>
  <si>
    <t>TUBO RECT 40X80X2.00 GALV</t>
  </si>
  <si>
    <t>TUBO RECT 2"X4"X1.5 GALV</t>
  </si>
  <si>
    <t>TUBO RECT 2"X4"X1.8 GALV</t>
  </si>
  <si>
    <t>TUBO RECT 2"X4"X2.00 GALV</t>
  </si>
  <si>
    <t>TUBO RECT 1"X2"X0.9 GALV</t>
  </si>
  <si>
    <t>TUBO RECT 1"X2"X1.2 GALV</t>
  </si>
  <si>
    <t>TUBO RECT 1"X2"X1.5 GALV</t>
  </si>
  <si>
    <t>TUBO RECT 1"X2"X1.8 GALV</t>
  </si>
  <si>
    <t>TUBO CUAD 3/4X1.5 GALV</t>
  </si>
  <si>
    <t>TUBO CUAD 1"X0.9 GALV</t>
  </si>
  <si>
    <t>TUBO CUAD 1"X1.2 GALV</t>
  </si>
  <si>
    <t>TUBO CUAD 1"X1.5 GALV</t>
  </si>
  <si>
    <t>TUBO CUAD 1"X1.8 GALV</t>
  </si>
  <si>
    <t>TUBO CUAD 1 1/4"X1.2 GALV</t>
  </si>
  <si>
    <t>TUBO CUAD 1 1/4"X1.5  GALV</t>
  </si>
  <si>
    <t>TUBO CUAD 1 1/4"X1.8 GALV</t>
  </si>
  <si>
    <t>TUBO CUAD 1 1/2"X1.2 GALV</t>
  </si>
  <si>
    <t>TUBO CUAD 1 1/2"X 1.5 GALV</t>
  </si>
  <si>
    <t>TUBO CUAD 1 1/2"X1.8 GALV</t>
  </si>
  <si>
    <t>TUBO CUAD 2"X1.2 GALV</t>
  </si>
  <si>
    <t>TUBO CUAD 2"X1.5 GALV</t>
  </si>
  <si>
    <t>TUBO CUAD 2"X1.8 GALV</t>
  </si>
  <si>
    <t>TUBO CUAD 3"X1.8 GALV</t>
  </si>
  <si>
    <t xml:space="preserve">TUBO CUAD 4"X1.8 GAL </t>
  </si>
  <si>
    <t xml:space="preserve">TUBO CUAD 4"X2.0 GAL </t>
  </si>
  <si>
    <t>PL GAL DE 1/16 (milimetrada1.45)</t>
  </si>
  <si>
    <t>PL GAL DE 1/20 (exacta 1.2)</t>
  </si>
  <si>
    <t>PL GAL DE 1/24     (1.00mm)</t>
  </si>
  <si>
    <t>PL GAL DE 1/27      (0.90mm)</t>
  </si>
  <si>
    <t>ANG DE 3/4"X1/8</t>
  </si>
  <si>
    <t>ANG DE 1"X1/8</t>
  </si>
  <si>
    <t>ANG DE 1"X3/16</t>
  </si>
  <si>
    <t>ANG DE 1 1/4"X1/8</t>
  </si>
  <si>
    <t>ANG DE 1 1/4"X3/16</t>
  </si>
  <si>
    <t>ANG DE 1 1/2"X1/8</t>
  </si>
  <si>
    <t>ANG DE 1 1/2"X3/16</t>
  </si>
  <si>
    <t>ANG DE 2"X1/8</t>
  </si>
  <si>
    <t>ANG DE 2"X3/16</t>
  </si>
  <si>
    <t>ANG DE 3/4"X2.5</t>
  </si>
  <si>
    <t>ANG DE 1"X2.5</t>
  </si>
  <si>
    <t>ANG 1 1/4"X2.5</t>
  </si>
  <si>
    <t>PLAT DE 1/2"X1/8</t>
  </si>
  <si>
    <t>PLAT DE 1/2"X3/16</t>
  </si>
  <si>
    <t>PLAT DE 3/4"X1/8</t>
  </si>
  <si>
    <t>PLAT DE 1"X1/8</t>
  </si>
  <si>
    <t>PLAT DE 1"X3/16</t>
  </si>
  <si>
    <t>PLAT DE 1 1/4"X1/8</t>
  </si>
  <si>
    <t>PLAT DE 1 1/4"X3/16</t>
  </si>
  <si>
    <t>PLAT DE 1 1/2" X 1/8</t>
  </si>
  <si>
    <t>PLAT DE 1 1/2" X 3/16</t>
  </si>
  <si>
    <t>PLAT DE 2"X1/8</t>
  </si>
  <si>
    <t>PLAT DE 2"X3/16</t>
  </si>
  <si>
    <t>RED LISO DE 3/8"</t>
  </si>
  <si>
    <t>RED LISO DE 1/2"</t>
  </si>
  <si>
    <t>RED LISO DE 5/8"</t>
  </si>
  <si>
    <t>PUNTO AZUL 1/8" X CAJA</t>
  </si>
  <si>
    <t>FACILITO 11 DE 1/8 X CAJA</t>
  </si>
  <si>
    <t>TEE DE 3/4"</t>
  </si>
  <si>
    <t>TEE DE 1"</t>
  </si>
  <si>
    <t>DISCO DE CORTE 14" DEWALT</t>
  </si>
  <si>
    <t>DISCO DE CORTE 7" 3M</t>
  </si>
  <si>
    <t>DISCO DE CORTE 4.5" 3M</t>
  </si>
  <si>
    <t>DISCO DE DESBASTE 4.5" DEWALT</t>
  </si>
  <si>
    <t>BISAGRA DE 2"X3/8</t>
  </si>
  <si>
    <t>BISAGRA DE 3"X3/8 (2 ALAS)</t>
  </si>
  <si>
    <t>BISAGRA DE 4"X1/2 (2 ALAS)</t>
  </si>
  <si>
    <t>BISAGRA DE 6"X1/2 (3 ALAS)</t>
  </si>
  <si>
    <t>BISAGRA DE 6"X5/8</t>
  </si>
  <si>
    <t>TUBO RED 1/2"X1.5 GALV</t>
  </si>
  <si>
    <t>TUBO RED 1/2"X1.8 GALV</t>
  </si>
  <si>
    <t>TUBO RED 3/4"X1.5 GALV</t>
  </si>
  <si>
    <t>TUBO RED 3/4"X2.00 GALV</t>
  </si>
  <si>
    <t>TUBO RED 1"X1.5 GALV</t>
  </si>
  <si>
    <t>TUBO RED 1"X1.8 GALV</t>
  </si>
  <si>
    <t xml:space="preserve">TUBO RED 1 1/4" X 1.5 GALV </t>
  </si>
  <si>
    <t xml:space="preserve">TUBO RED 1 1/4" X 1.8 GALV </t>
  </si>
  <si>
    <t>TUBO RED 1 1/2" X 1.5 GALV</t>
  </si>
  <si>
    <t>TUBO RED 1 1/2" X 1.8 GALV</t>
  </si>
  <si>
    <t>TUBO RED 1 1/2" X 2.00 GALV</t>
  </si>
  <si>
    <t>TUBO RED 2"X 1.8 GALV</t>
  </si>
  <si>
    <t>TUBO RED 2"X 2.00 GALV</t>
  </si>
  <si>
    <t>PL ESTRIADA DE 2.00 GAV</t>
  </si>
  <si>
    <t>PL ESTRIADA DE 2.5 GALV</t>
  </si>
  <si>
    <t>PR.UNIT.</t>
  </si>
  <si>
    <t>CANT. VENDIDA</t>
  </si>
  <si>
    <t>VOL. VENTAS</t>
  </si>
  <si>
    <t>% PART. INDIV.</t>
  </si>
  <si>
    <t>N°</t>
  </si>
  <si>
    <t>% PART. ACUM.</t>
  </si>
  <si>
    <t>COST. PEDIDO</t>
  </si>
  <si>
    <t>COST. MANTENER ( 18%)</t>
  </si>
  <si>
    <t>DIAS LABORABLES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</si>
</sst>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0" fontId="2" fillId="0" borderId="0" xfId="0" applyNumberFormat="1" applyFont="1" applyAlignment="1">
      <alignment horizontal="center"/>
    </xf>
    <xf numFmtId="44" fontId="0" fillId="0" borderId="0" xfId="1" applyFont="1"/>
    <xf numFmtId="44" fontId="2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AE6F-AE3A-48E8-A818-5EECFC3AF328}">
  <dimension ref="A3:K95"/>
  <sheetViews>
    <sheetView tabSelected="1" workbookViewId="0">
      <selection activeCell="L5" sqref="L5"/>
    </sheetView>
  </sheetViews>
  <sheetFormatPr baseColWidth="10" defaultRowHeight="14.4" x14ac:dyDescent="0.3"/>
  <cols>
    <col min="1" max="1" width="3.6640625" bestFit="1" customWidth="1"/>
    <col min="2" max="2" width="27.77734375" customWidth="1"/>
    <col min="4" max="4" width="13.88671875" customWidth="1"/>
    <col min="5" max="5" width="11.5546875" style="6"/>
    <col min="6" max="6" width="12.44140625" style="6" customWidth="1"/>
    <col min="7" max="7" width="15.6640625" style="4" customWidth="1"/>
    <col min="8" max="8" width="14.21875" customWidth="1"/>
    <col min="9" max="9" width="13.88671875" style="6" customWidth="1"/>
    <col min="10" max="10" width="23" style="6" customWidth="1"/>
    <col min="11" max="11" width="17.109375" customWidth="1"/>
  </cols>
  <sheetData>
    <row r="3" spans="1:11" x14ac:dyDescent="0.3">
      <c r="B3" s="1"/>
    </row>
    <row r="4" spans="1:11" ht="15.6" x14ac:dyDescent="0.3">
      <c r="B4" s="2"/>
    </row>
    <row r="5" spans="1:11" s="3" customFormat="1" ht="14.4" customHeight="1" x14ac:dyDescent="0.3">
      <c r="A5" s="3" t="s">
        <v>95</v>
      </c>
      <c r="B5" s="3" t="s">
        <v>0</v>
      </c>
      <c r="C5" s="3" t="s">
        <v>1</v>
      </c>
      <c r="D5" s="3" t="s">
        <v>92</v>
      </c>
      <c r="E5" s="7" t="s">
        <v>91</v>
      </c>
      <c r="F5" s="7" t="s">
        <v>93</v>
      </c>
      <c r="G5" s="5" t="s">
        <v>94</v>
      </c>
      <c r="H5" s="3" t="s">
        <v>96</v>
      </c>
      <c r="I5" s="7" t="s">
        <v>97</v>
      </c>
      <c r="J5" s="7" t="s">
        <v>98</v>
      </c>
      <c r="K5" s="3" t="s">
        <v>99</v>
      </c>
    </row>
    <row r="6" spans="1:11" x14ac:dyDescent="0.3">
      <c r="A6">
        <v>1</v>
      </c>
      <c r="B6" s="1" t="s">
        <v>63</v>
      </c>
      <c r="C6">
        <v>5</v>
      </c>
      <c r="D6">
        <v>79</v>
      </c>
      <c r="E6" s="6">
        <v>400.05900000000003</v>
      </c>
      <c r="F6" s="6">
        <f>D6*E6</f>
        <v>31604.661000000004</v>
      </c>
      <c r="G6" s="4">
        <f>F6/$F$95</f>
        <v>8.936651899159366E-2</v>
      </c>
      <c r="H6" s="4">
        <f>G6</f>
        <v>8.936651899159366E-2</v>
      </c>
      <c r="I6" s="6">
        <v>50</v>
      </c>
      <c r="J6" s="6">
        <f>0.18*E6</f>
        <v>72.010620000000003</v>
      </c>
      <c r="K6">
        <v>24</v>
      </c>
    </row>
    <row r="7" spans="1:11" x14ac:dyDescent="0.3">
      <c r="A7">
        <v>2</v>
      </c>
      <c r="B7" s="1" t="s">
        <v>31</v>
      </c>
      <c r="C7">
        <v>56</v>
      </c>
      <c r="D7">
        <v>102</v>
      </c>
      <c r="E7" s="6">
        <v>153.6183</v>
      </c>
      <c r="F7" s="6">
        <f>D7*E7</f>
        <v>15669.0666</v>
      </c>
      <c r="G7" s="4">
        <f>F7/$F$95</f>
        <v>4.4306437518486459E-2</v>
      </c>
      <c r="H7" s="4">
        <f>H6+G7</f>
        <v>0.13367295651008013</v>
      </c>
      <c r="I7" s="6">
        <v>15</v>
      </c>
      <c r="J7" s="6">
        <f t="shared" ref="J7:J70" si="0">0.18*E7</f>
        <v>27.651294</v>
      </c>
      <c r="K7">
        <v>24</v>
      </c>
    </row>
    <row r="8" spans="1:11" x14ac:dyDescent="0.3">
      <c r="A8">
        <v>3</v>
      </c>
      <c r="B8" s="1" t="s">
        <v>90</v>
      </c>
      <c r="C8">
        <v>48</v>
      </c>
      <c r="D8">
        <v>53</v>
      </c>
      <c r="E8" s="6">
        <v>277.20000000000005</v>
      </c>
      <c r="F8" s="6">
        <f>D8*E8</f>
        <v>14691.600000000002</v>
      </c>
      <c r="G8" s="4">
        <f>F8/$F$95</f>
        <v>4.1542516479354023E-2</v>
      </c>
      <c r="H8" s="4">
        <f t="shared" ref="H8:H71" si="1">H7+G8</f>
        <v>0.17521547298943416</v>
      </c>
      <c r="I8" s="6">
        <v>35</v>
      </c>
      <c r="J8" s="6">
        <f t="shared" si="0"/>
        <v>49.896000000000008</v>
      </c>
      <c r="K8">
        <v>24</v>
      </c>
    </row>
    <row r="9" spans="1:11" x14ac:dyDescent="0.3">
      <c r="A9">
        <v>4</v>
      </c>
      <c r="B9" s="1" t="s">
        <v>33</v>
      </c>
      <c r="C9">
        <v>82</v>
      </c>
      <c r="D9">
        <v>110</v>
      </c>
      <c r="E9" s="6">
        <v>132.10220000000001</v>
      </c>
      <c r="F9" s="6">
        <f>D9*E9</f>
        <v>14531.242000000002</v>
      </c>
      <c r="G9" s="4">
        <f>F9/$F$95</f>
        <v>4.1089082213678657E-2</v>
      </c>
      <c r="H9" s="4">
        <f t="shared" si="1"/>
        <v>0.21630455520311281</v>
      </c>
      <c r="I9" s="6">
        <v>15</v>
      </c>
      <c r="J9" s="6">
        <f t="shared" si="0"/>
        <v>23.778396000000001</v>
      </c>
      <c r="K9">
        <v>24</v>
      </c>
    </row>
    <row r="10" spans="1:11" x14ac:dyDescent="0.3">
      <c r="A10">
        <v>5</v>
      </c>
      <c r="B10" s="1" t="s">
        <v>34</v>
      </c>
      <c r="C10">
        <v>89</v>
      </c>
      <c r="D10">
        <v>128</v>
      </c>
      <c r="E10" s="6">
        <v>109.6643</v>
      </c>
      <c r="F10" s="6">
        <f>D10*E10</f>
        <v>14037.0304</v>
      </c>
      <c r="G10" s="4">
        <f>F10/$F$95</f>
        <v>3.969163104857152E-2</v>
      </c>
      <c r="H10" s="4">
        <f t="shared" si="1"/>
        <v>0.25599618625168435</v>
      </c>
      <c r="I10" s="6">
        <v>0</v>
      </c>
      <c r="J10" s="6">
        <f t="shared" si="0"/>
        <v>19.739573999999998</v>
      </c>
      <c r="K10">
        <v>24</v>
      </c>
    </row>
    <row r="11" spans="1:11" x14ac:dyDescent="0.3">
      <c r="A11">
        <v>6</v>
      </c>
      <c r="B11" s="1" t="s">
        <v>64</v>
      </c>
      <c r="C11">
        <v>7</v>
      </c>
      <c r="D11">
        <v>45</v>
      </c>
      <c r="E11" s="6">
        <v>306.49299999999999</v>
      </c>
      <c r="F11" s="6">
        <f>D11*E11</f>
        <v>13792.184999999999</v>
      </c>
      <c r="G11" s="4">
        <f>F11/$F$95</f>
        <v>3.8999297057420522E-2</v>
      </c>
      <c r="H11" s="4">
        <f t="shared" si="1"/>
        <v>0.29499548330910486</v>
      </c>
      <c r="I11" s="6">
        <v>50</v>
      </c>
      <c r="J11" s="6">
        <f t="shared" si="0"/>
        <v>55.16874</v>
      </c>
      <c r="K11">
        <v>24</v>
      </c>
    </row>
    <row r="12" spans="1:11" x14ac:dyDescent="0.3">
      <c r="A12">
        <v>7</v>
      </c>
      <c r="B12" s="1" t="s">
        <v>10</v>
      </c>
      <c r="C12">
        <v>87</v>
      </c>
      <c r="D12">
        <v>94</v>
      </c>
      <c r="E12" s="6">
        <v>113.443</v>
      </c>
      <c r="F12" s="6">
        <f>D12*E12</f>
        <v>10663.642</v>
      </c>
      <c r="G12" s="4">
        <f>F12/$F$95</f>
        <v>3.0152912107253918E-2</v>
      </c>
      <c r="H12" s="4">
        <f t="shared" si="1"/>
        <v>0.32514839541635876</v>
      </c>
      <c r="I12" s="6">
        <v>15</v>
      </c>
      <c r="J12" s="6">
        <f t="shared" si="0"/>
        <v>20.419739999999997</v>
      </c>
      <c r="K12">
        <v>24</v>
      </c>
    </row>
    <row r="13" spans="1:11" x14ac:dyDescent="0.3">
      <c r="A13">
        <v>8</v>
      </c>
      <c r="B13" s="1" t="s">
        <v>89</v>
      </c>
      <c r="C13">
        <v>27</v>
      </c>
      <c r="D13">
        <v>48</v>
      </c>
      <c r="E13" s="6">
        <v>217.8</v>
      </c>
      <c r="F13" s="6">
        <f>D13*E13</f>
        <v>10454.400000000001</v>
      </c>
      <c r="G13" s="4">
        <f>F13/$F$95</f>
        <v>2.9561251618731705E-2</v>
      </c>
      <c r="H13" s="4">
        <f t="shared" si="1"/>
        <v>0.35470964703509045</v>
      </c>
      <c r="I13" s="6">
        <v>50</v>
      </c>
      <c r="J13" s="6">
        <f t="shared" si="0"/>
        <v>39.204000000000001</v>
      </c>
      <c r="K13">
        <v>24</v>
      </c>
    </row>
    <row r="14" spans="1:11" x14ac:dyDescent="0.3">
      <c r="A14">
        <v>9</v>
      </c>
      <c r="B14" s="1" t="s">
        <v>8</v>
      </c>
      <c r="C14">
        <v>76</v>
      </c>
      <c r="D14">
        <v>102</v>
      </c>
      <c r="E14" s="6">
        <v>102.102</v>
      </c>
      <c r="F14" s="6">
        <f>D14*E14</f>
        <v>10414.404</v>
      </c>
      <c r="G14" s="4">
        <f>F14/$F$95</f>
        <v>2.9448157436402465E-2</v>
      </c>
      <c r="H14" s="4">
        <f t="shared" si="1"/>
        <v>0.38415780447149289</v>
      </c>
      <c r="I14" s="6">
        <v>15</v>
      </c>
      <c r="J14" s="6">
        <f t="shared" si="0"/>
        <v>18.378360000000001</v>
      </c>
      <c r="K14">
        <v>24</v>
      </c>
    </row>
    <row r="15" spans="1:11" x14ac:dyDescent="0.3">
      <c r="A15">
        <v>10</v>
      </c>
      <c r="B15" s="1" t="s">
        <v>45</v>
      </c>
      <c r="C15">
        <v>83</v>
      </c>
      <c r="D15">
        <v>111</v>
      </c>
      <c r="E15" s="6">
        <v>87.736000000000018</v>
      </c>
      <c r="F15" s="6">
        <f>D15*E15</f>
        <v>9738.6960000000017</v>
      </c>
      <c r="G15" s="4">
        <f>F15/$F$95</f>
        <v>2.7537500276853383E-2</v>
      </c>
      <c r="H15" s="4">
        <f t="shared" si="1"/>
        <v>0.41169530474834626</v>
      </c>
      <c r="I15" s="6">
        <v>15</v>
      </c>
      <c r="J15" s="6">
        <f t="shared" si="0"/>
        <v>15.792480000000003</v>
      </c>
      <c r="K15">
        <v>24</v>
      </c>
    </row>
    <row r="16" spans="1:11" x14ac:dyDescent="0.3">
      <c r="A16">
        <v>11</v>
      </c>
      <c r="B16" s="1" t="s">
        <v>9</v>
      </c>
      <c r="C16">
        <v>49</v>
      </c>
      <c r="D16">
        <v>89</v>
      </c>
      <c r="E16" s="6">
        <v>95.282000000000011</v>
      </c>
      <c r="F16" s="6">
        <f>D16*E16</f>
        <v>8480.0980000000018</v>
      </c>
      <c r="G16" s="4">
        <f>F16/$F$95</f>
        <v>2.3978641598705188E-2</v>
      </c>
      <c r="H16" s="4">
        <f t="shared" si="1"/>
        <v>0.43567394634705142</v>
      </c>
      <c r="I16" s="6">
        <v>35</v>
      </c>
      <c r="J16" s="6">
        <f t="shared" si="0"/>
        <v>17.150760000000002</v>
      </c>
      <c r="K16">
        <v>24</v>
      </c>
    </row>
    <row r="17" spans="1:11" x14ac:dyDescent="0.3">
      <c r="A17">
        <v>12</v>
      </c>
      <c r="B17" s="1" t="s">
        <v>11</v>
      </c>
      <c r="C17">
        <v>25</v>
      </c>
      <c r="D17">
        <v>64</v>
      </c>
      <c r="E17" s="6">
        <v>126.66500000000002</v>
      </c>
      <c r="F17" s="6">
        <f>D17*E17</f>
        <v>8106.5600000000013</v>
      </c>
      <c r="G17" s="4">
        <f>F17/$F$95</f>
        <v>2.2922411608733709E-2</v>
      </c>
      <c r="H17" s="4">
        <f t="shared" si="1"/>
        <v>0.45859635795578513</v>
      </c>
      <c r="I17" s="6">
        <v>50</v>
      </c>
      <c r="J17" s="6">
        <f t="shared" si="0"/>
        <v>22.799700000000001</v>
      </c>
      <c r="K17">
        <v>24</v>
      </c>
    </row>
    <row r="18" spans="1:11" x14ac:dyDescent="0.3">
      <c r="A18">
        <v>13</v>
      </c>
      <c r="B18" s="1" t="s">
        <v>87</v>
      </c>
      <c r="C18">
        <v>80</v>
      </c>
      <c r="D18">
        <v>105</v>
      </c>
      <c r="E18" s="6">
        <v>72.050000000000011</v>
      </c>
      <c r="F18" s="6">
        <f>D18*E18</f>
        <v>7565.2500000000009</v>
      </c>
      <c r="G18" s="4">
        <f>F18/$F$95</f>
        <v>2.1391783249981828E-2</v>
      </c>
      <c r="H18" s="4">
        <f t="shared" si="1"/>
        <v>0.47998814120576694</v>
      </c>
      <c r="I18" s="6">
        <v>15</v>
      </c>
      <c r="J18" s="6">
        <f t="shared" si="0"/>
        <v>12.969000000000001</v>
      </c>
      <c r="K18">
        <v>24</v>
      </c>
    </row>
    <row r="19" spans="1:11" x14ac:dyDescent="0.3">
      <c r="A19">
        <v>14</v>
      </c>
      <c r="B19" s="1" t="s">
        <v>29</v>
      </c>
      <c r="C19">
        <v>57</v>
      </c>
      <c r="D19">
        <v>95</v>
      </c>
      <c r="E19" s="6">
        <v>76.010000000000005</v>
      </c>
      <c r="F19" s="6">
        <f>D19*E19</f>
        <v>7220.9500000000007</v>
      </c>
      <c r="G19" s="4">
        <f>F19/$F$95</f>
        <v>2.0418227720029911E-2</v>
      </c>
      <c r="H19" s="4">
        <f t="shared" si="1"/>
        <v>0.50040636892579682</v>
      </c>
      <c r="I19" s="6">
        <v>15</v>
      </c>
      <c r="J19" s="6">
        <f t="shared" si="0"/>
        <v>13.681800000000001</v>
      </c>
      <c r="K19">
        <v>24</v>
      </c>
    </row>
    <row r="20" spans="1:11" x14ac:dyDescent="0.3">
      <c r="A20">
        <v>15</v>
      </c>
      <c r="B20" s="1" t="s">
        <v>6</v>
      </c>
      <c r="C20">
        <v>84</v>
      </c>
      <c r="D20">
        <v>90</v>
      </c>
      <c r="E20" s="6">
        <v>76.801400000000001</v>
      </c>
      <c r="F20" s="6">
        <f>D20*E20</f>
        <v>6912.1260000000002</v>
      </c>
      <c r="G20" s="4">
        <f>F20/$F$95</f>
        <v>1.9544985451711957E-2</v>
      </c>
      <c r="H20" s="4">
        <f t="shared" si="1"/>
        <v>0.51995135437750872</v>
      </c>
      <c r="I20" s="6">
        <v>15</v>
      </c>
      <c r="J20" s="6">
        <f t="shared" si="0"/>
        <v>13.824252</v>
      </c>
      <c r="K20">
        <v>24</v>
      </c>
    </row>
    <row r="21" spans="1:11" x14ac:dyDescent="0.3">
      <c r="A21">
        <v>16</v>
      </c>
      <c r="B21" s="1" t="s">
        <v>32</v>
      </c>
      <c r="C21">
        <v>22</v>
      </c>
      <c r="D21">
        <v>36</v>
      </c>
      <c r="E21" s="6">
        <v>170.68700000000001</v>
      </c>
      <c r="F21" s="6">
        <f>D21*E21</f>
        <v>6144.732</v>
      </c>
      <c r="G21" s="4">
        <f>F21/$F$95</f>
        <v>1.7375073536661356E-2</v>
      </c>
      <c r="H21" s="4">
        <f t="shared" si="1"/>
        <v>0.53732642791417007</v>
      </c>
      <c r="I21" s="6">
        <v>50</v>
      </c>
      <c r="J21" s="6">
        <f t="shared" si="0"/>
        <v>30.723660000000002</v>
      </c>
      <c r="K21">
        <v>24</v>
      </c>
    </row>
    <row r="22" spans="1:11" x14ac:dyDescent="0.3">
      <c r="A22">
        <v>17</v>
      </c>
      <c r="B22" s="1" t="s">
        <v>3</v>
      </c>
      <c r="C22">
        <v>53</v>
      </c>
      <c r="D22">
        <v>96</v>
      </c>
      <c r="E22" s="6">
        <v>63.022320000000001</v>
      </c>
      <c r="F22" s="6">
        <f>D22*E22</f>
        <v>6050.1427199999998</v>
      </c>
      <c r="G22" s="4">
        <f>F22/$F$95</f>
        <v>1.7107609358275731E-2</v>
      </c>
      <c r="H22" s="4">
        <f t="shared" si="1"/>
        <v>0.55443403727244578</v>
      </c>
      <c r="I22" s="6">
        <v>15</v>
      </c>
      <c r="J22" s="6">
        <f t="shared" si="0"/>
        <v>11.344017599999999</v>
      </c>
      <c r="K22">
        <v>24</v>
      </c>
    </row>
    <row r="23" spans="1:11" x14ac:dyDescent="0.3">
      <c r="A23">
        <v>18</v>
      </c>
      <c r="B23" s="1" t="s">
        <v>36</v>
      </c>
      <c r="C23">
        <v>42</v>
      </c>
      <c r="D23">
        <v>68</v>
      </c>
      <c r="E23" s="6">
        <v>83.5488</v>
      </c>
      <c r="F23" s="6">
        <f>D23*E23</f>
        <v>5681.3184000000001</v>
      </c>
      <c r="G23" s="4">
        <f>F23/$F$95</f>
        <v>1.6064707945796047E-2</v>
      </c>
      <c r="H23" s="4">
        <f t="shared" si="1"/>
        <v>0.57049874521824184</v>
      </c>
      <c r="I23" s="6">
        <v>35</v>
      </c>
      <c r="J23" s="6">
        <f t="shared" si="0"/>
        <v>15.038784</v>
      </c>
      <c r="K23">
        <v>24</v>
      </c>
    </row>
    <row r="24" spans="1:11" x14ac:dyDescent="0.3">
      <c r="A24">
        <v>19</v>
      </c>
      <c r="B24" s="1" t="s">
        <v>5</v>
      </c>
      <c r="C24">
        <v>96</v>
      </c>
      <c r="D24">
        <v>99</v>
      </c>
      <c r="E24" s="6">
        <v>51.670666666666669</v>
      </c>
      <c r="F24" s="6">
        <f>D24*E24</f>
        <v>5115.3960000000006</v>
      </c>
      <c r="G24" s="4">
        <f>F24/$F$95</f>
        <v>1.4464484646221083E-2</v>
      </c>
      <c r="H24" s="4">
        <f t="shared" si="1"/>
        <v>0.58496322986446292</v>
      </c>
      <c r="I24" s="6">
        <v>15</v>
      </c>
      <c r="J24" s="6">
        <f t="shared" si="0"/>
        <v>9.3007200000000001</v>
      </c>
      <c r="K24">
        <v>24</v>
      </c>
    </row>
    <row r="25" spans="1:11" x14ac:dyDescent="0.3">
      <c r="A25">
        <v>20</v>
      </c>
      <c r="B25" s="1" t="s">
        <v>35</v>
      </c>
      <c r="C25">
        <v>26</v>
      </c>
      <c r="D25">
        <v>52</v>
      </c>
      <c r="E25" s="6">
        <v>92.556000000000012</v>
      </c>
      <c r="F25" s="6">
        <f>D25*E25</f>
        <v>4812.9120000000003</v>
      </c>
      <c r="G25" s="4">
        <f>F25/$F$95</f>
        <v>1.3609169598524377E-2</v>
      </c>
      <c r="H25" s="4">
        <f t="shared" si="1"/>
        <v>0.59857239946298735</v>
      </c>
      <c r="I25" s="6">
        <v>50</v>
      </c>
      <c r="J25" s="6">
        <f t="shared" si="0"/>
        <v>16.660080000000001</v>
      </c>
      <c r="K25">
        <v>24</v>
      </c>
    </row>
    <row r="26" spans="1:11" x14ac:dyDescent="0.3">
      <c r="A26">
        <v>21</v>
      </c>
      <c r="B26" s="1" t="s">
        <v>28</v>
      </c>
      <c r="C26">
        <v>38</v>
      </c>
      <c r="D26">
        <v>74</v>
      </c>
      <c r="E26" s="6">
        <v>64.251000000000005</v>
      </c>
      <c r="F26" s="6">
        <f>D26*E26</f>
        <v>4754.5740000000005</v>
      </c>
      <c r="G26" s="4">
        <f>F26/$F$95</f>
        <v>1.3444210892435689E-2</v>
      </c>
      <c r="H26" s="4">
        <f t="shared" si="1"/>
        <v>0.61201661035542299</v>
      </c>
      <c r="I26" s="6">
        <v>35</v>
      </c>
      <c r="J26" s="6">
        <f t="shared" si="0"/>
        <v>11.56518</v>
      </c>
      <c r="K26">
        <v>24</v>
      </c>
    </row>
    <row r="27" spans="1:11" x14ac:dyDescent="0.3">
      <c r="A27">
        <v>22</v>
      </c>
      <c r="B27" s="1" t="s">
        <v>2</v>
      </c>
      <c r="C27">
        <v>50</v>
      </c>
      <c r="D27">
        <v>86</v>
      </c>
      <c r="E27" s="6">
        <v>51.115500000000004</v>
      </c>
      <c r="F27" s="6">
        <f>D27*E27</f>
        <v>4395.933</v>
      </c>
      <c r="G27" s="4">
        <f>F27/$F$95</f>
        <v>1.2430104215649497E-2</v>
      </c>
      <c r="H27" s="4">
        <f t="shared" si="1"/>
        <v>0.62444671457107248</v>
      </c>
      <c r="I27" s="6">
        <v>35</v>
      </c>
      <c r="J27" s="6">
        <f t="shared" si="0"/>
        <v>9.2007899999999996</v>
      </c>
      <c r="K27">
        <v>24</v>
      </c>
    </row>
    <row r="28" spans="1:11" x14ac:dyDescent="0.3">
      <c r="A28">
        <v>23</v>
      </c>
      <c r="B28" s="1" t="s">
        <v>4</v>
      </c>
      <c r="C28">
        <v>48</v>
      </c>
      <c r="D28">
        <v>57</v>
      </c>
      <c r="E28" s="6">
        <v>76.14200000000001</v>
      </c>
      <c r="F28" s="6">
        <f>D28*E28</f>
        <v>4340.094000000001</v>
      </c>
      <c r="G28" s="4">
        <f>F28/$F$95</f>
        <v>1.2272211775228399E-2</v>
      </c>
      <c r="H28" s="4">
        <f t="shared" si="1"/>
        <v>0.6367189263463009</v>
      </c>
      <c r="I28" s="6">
        <v>35</v>
      </c>
      <c r="J28" s="6">
        <f t="shared" si="0"/>
        <v>13.705560000000002</v>
      </c>
      <c r="K28">
        <v>24</v>
      </c>
    </row>
    <row r="29" spans="1:11" x14ac:dyDescent="0.3">
      <c r="A29">
        <v>24</v>
      </c>
      <c r="B29" s="1" t="s">
        <v>14</v>
      </c>
      <c r="C29">
        <v>59</v>
      </c>
      <c r="D29">
        <v>89</v>
      </c>
      <c r="E29" s="6">
        <v>48.488</v>
      </c>
      <c r="F29" s="6">
        <f>D29*E29</f>
        <v>4315.4319999999998</v>
      </c>
      <c r="G29" s="4">
        <f>F29/$F$95</f>
        <v>1.220247658359414E-2</v>
      </c>
      <c r="H29" s="4">
        <f t="shared" si="1"/>
        <v>0.64892140292989509</v>
      </c>
      <c r="I29" s="6">
        <v>15</v>
      </c>
      <c r="J29" s="6">
        <f t="shared" si="0"/>
        <v>8.7278399999999987</v>
      </c>
      <c r="K29">
        <v>24</v>
      </c>
    </row>
    <row r="30" spans="1:11" x14ac:dyDescent="0.3">
      <c r="A30">
        <v>25</v>
      </c>
      <c r="B30" s="1" t="s">
        <v>85</v>
      </c>
      <c r="C30">
        <v>54</v>
      </c>
      <c r="D30">
        <v>73</v>
      </c>
      <c r="E30" s="6">
        <v>58.385600000000011</v>
      </c>
      <c r="F30" s="6">
        <f>D30*E30</f>
        <v>4262.1488000000008</v>
      </c>
      <c r="G30" s="4">
        <f>F30/$F$95</f>
        <v>1.2051811018640515E-2</v>
      </c>
      <c r="H30" s="4">
        <f t="shared" si="1"/>
        <v>0.66097321394853559</v>
      </c>
      <c r="I30" s="6">
        <v>35</v>
      </c>
      <c r="J30" s="6">
        <f t="shared" si="0"/>
        <v>10.509408000000002</v>
      </c>
      <c r="K30">
        <v>24</v>
      </c>
    </row>
    <row r="31" spans="1:11" x14ac:dyDescent="0.3">
      <c r="A31">
        <v>26</v>
      </c>
      <c r="B31" s="1" t="s">
        <v>57</v>
      </c>
      <c r="C31">
        <v>122</v>
      </c>
      <c r="D31">
        <v>122</v>
      </c>
      <c r="E31" s="6">
        <v>34.775999999999996</v>
      </c>
      <c r="F31" s="6">
        <f>D31*E31</f>
        <v>4242.6719999999996</v>
      </c>
      <c r="G31" s="4">
        <f>F31/$F$95</f>
        <v>1.19967376920481E-2</v>
      </c>
      <c r="H31" s="4">
        <f t="shared" si="1"/>
        <v>0.67296995164058371</v>
      </c>
      <c r="I31" s="6">
        <v>0</v>
      </c>
      <c r="J31" s="6">
        <f t="shared" si="0"/>
        <v>6.2596799999999995</v>
      </c>
      <c r="K31">
        <v>24</v>
      </c>
    </row>
    <row r="32" spans="1:11" x14ac:dyDescent="0.3">
      <c r="A32">
        <v>27</v>
      </c>
      <c r="B32" s="1" t="s">
        <v>26</v>
      </c>
      <c r="C32">
        <v>63</v>
      </c>
      <c r="D32">
        <v>75</v>
      </c>
      <c r="E32" s="6">
        <v>56.485000000000007</v>
      </c>
      <c r="F32" s="6">
        <f>D32*E32</f>
        <v>4236.3750000000009</v>
      </c>
      <c r="G32" s="4">
        <f>F32/$F$95</f>
        <v>1.1978932059831702E-2</v>
      </c>
      <c r="H32" s="4">
        <f t="shared" si="1"/>
        <v>0.6849488837004154</v>
      </c>
      <c r="I32" s="6">
        <v>35</v>
      </c>
      <c r="J32" s="6">
        <f t="shared" si="0"/>
        <v>10.167300000000001</v>
      </c>
      <c r="K32">
        <v>24</v>
      </c>
    </row>
    <row r="33" spans="1:11" x14ac:dyDescent="0.3">
      <c r="A33">
        <v>28</v>
      </c>
      <c r="B33" s="1" t="s">
        <v>24</v>
      </c>
      <c r="C33">
        <v>70</v>
      </c>
      <c r="D33">
        <v>109</v>
      </c>
      <c r="E33" s="6">
        <v>38.763999999999996</v>
      </c>
      <c r="F33" s="6">
        <f>D33*E33</f>
        <v>4225.2759999999998</v>
      </c>
      <c r="G33" s="4">
        <f>F33/$F$95</f>
        <v>1.194754811319523E-2</v>
      </c>
      <c r="H33" s="4">
        <f t="shared" si="1"/>
        <v>0.69689643181361061</v>
      </c>
      <c r="I33" s="6">
        <v>15</v>
      </c>
      <c r="J33" s="6">
        <f t="shared" si="0"/>
        <v>6.9775199999999993</v>
      </c>
      <c r="K33">
        <v>24</v>
      </c>
    </row>
    <row r="34" spans="1:11" x14ac:dyDescent="0.3">
      <c r="A34">
        <v>29</v>
      </c>
      <c r="B34" s="1" t="s">
        <v>30</v>
      </c>
      <c r="C34">
        <v>4</v>
      </c>
      <c r="D34">
        <v>37</v>
      </c>
      <c r="E34" s="6">
        <v>113.542</v>
      </c>
      <c r="F34" s="6">
        <f>D34*E34</f>
        <v>4201.0540000000001</v>
      </c>
      <c r="G34" s="4">
        <f>F34/$F$95</f>
        <v>1.1879057081982638E-2</v>
      </c>
      <c r="H34" s="4">
        <f t="shared" si="1"/>
        <v>0.70877548889559328</v>
      </c>
      <c r="I34" s="6">
        <v>60</v>
      </c>
      <c r="J34" s="6">
        <f t="shared" si="0"/>
        <v>20.437560000000001</v>
      </c>
      <c r="K34">
        <v>24</v>
      </c>
    </row>
    <row r="35" spans="1:11" x14ac:dyDescent="0.3">
      <c r="A35">
        <v>30</v>
      </c>
      <c r="B35" s="1" t="s">
        <v>44</v>
      </c>
      <c r="C35">
        <v>49</v>
      </c>
      <c r="D35">
        <v>69</v>
      </c>
      <c r="E35" s="6">
        <v>60.049000000000007</v>
      </c>
      <c r="F35" s="6">
        <f>D35*E35</f>
        <v>4143.3810000000003</v>
      </c>
      <c r="G35" s="4">
        <f>F35/$F$95</f>
        <v>1.1715978754713058E-2</v>
      </c>
      <c r="H35" s="4">
        <f t="shared" si="1"/>
        <v>0.72049146765030636</v>
      </c>
      <c r="I35" s="6">
        <v>35</v>
      </c>
      <c r="J35" s="6">
        <f t="shared" si="0"/>
        <v>10.808820000000001</v>
      </c>
      <c r="K35">
        <v>24</v>
      </c>
    </row>
    <row r="36" spans="1:11" x14ac:dyDescent="0.3">
      <c r="A36">
        <v>31</v>
      </c>
      <c r="B36" s="1" t="s">
        <v>88</v>
      </c>
      <c r="C36">
        <v>47</v>
      </c>
      <c r="D36">
        <v>51</v>
      </c>
      <c r="E36" s="6">
        <v>78.496000000000009</v>
      </c>
      <c r="F36" s="6">
        <f>D36*E36</f>
        <v>4003.2960000000003</v>
      </c>
      <c r="G36" s="4">
        <f>F36/$F$95</f>
        <v>1.1319869180465847E-2</v>
      </c>
      <c r="H36" s="4">
        <f t="shared" si="1"/>
        <v>0.73181133683077215</v>
      </c>
      <c r="I36" s="6">
        <v>35</v>
      </c>
      <c r="J36" s="6">
        <f t="shared" si="0"/>
        <v>14.129280000000001</v>
      </c>
      <c r="K36">
        <v>24</v>
      </c>
    </row>
    <row r="37" spans="1:11" x14ac:dyDescent="0.3">
      <c r="A37">
        <v>32</v>
      </c>
      <c r="B37" s="1" t="s">
        <v>15</v>
      </c>
      <c r="C37">
        <v>62</v>
      </c>
      <c r="D37">
        <v>66</v>
      </c>
      <c r="E37" s="6">
        <v>57.563000000000002</v>
      </c>
      <c r="F37" s="6">
        <f>D37*E37</f>
        <v>3799.1580000000004</v>
      </c>
      <c r="G37" s="4">
        <f>F37/$F$95</f>
        <v>1.074264095283493E-2</v>
      </c>
      <c r="H37" s="4">
        <f t="shared" si="1"/>
        <v>0.7425539777836071</v>
      </c>
      <c r="I37" s="6">
        <v>35</v>
      </c>
      <c r="J37" s="6">
        <f t="shared" si="0"/>
        <v>10.36134</v>
      </c>
      <c r="K37">
        <v>24</v>
      </c>
    </row>
    <row r="38" spans="1:11" x14ac:dyDescent="0.3">
      <c r="A38">
        <v>33</v>
      </c>
      <c r="B38" s="1" t="s">
        <v>23</v>
      </c>
      <c r="C38">
        <v>50</v>
      </c>
      <c r="D38">
        <v>75</v>
      </c>
      <c r="E38" s="6">
        <v>45.848000000000006</v>
      </c>
      <c r="F38" s="6">
        <f>D38*E38</f>
        <v>3438.6000000000004</v>
      </c>
      <c r="G38" s="4">
        <f>F38/$F$95</f>
        <v>9.7231136953025363E-3</v>
      </c>
      <c r="H38" s="4">
        <f t="shared" si="1"/>
        <v>0.75227709147890964</v>
      </c>
      <c r="I38" s="6">
        <v>35</v>
      </c>
      <c r="J38" s="6">
        <f t="shared" si="0"/>
        <v>8.2526400000000013</v>
      </c>
      <c r="K38">
        <v>24</v>
      </c>
    </row>
    <row r="39" spans="1:11" x14ac:dyDescent="0.3">
      <c r="A39">
        <v>34</v>
      </c>
      <c r="B39" s="1" t="s">
        <v>83</v>
      </c>
      <c r="C39">
        <v>57</v>
      </c>
      <c r="D39">
        <v>66</v>
      </c>
      <c r="E39" s="6">
        <v>51.699199999999998</v>
      </c>
      <c r="F39" s="6">
        <f>D39*E39</f>
        <v>3412.1471999999999</v>
      </c>
      <c r="G39" s="4">
        <f>F39/$F$95</f>
        <v>9.6483147707521078E-3</v>
      </c>
      <c r="H39" s="4">
        <f t="shared" si="1"/>
        <v>0.76192540624966176</v>
      </c>
      <c r="I39" s="6">
        <v>35</v>
      </c>
      <c r="J39" s="6">
        <f t="shared" si="0"/>
        <v>9.3058559999999986</v>
      </c>
      <c r="K39">
        <v>24</v>
      </c>
    </row>
    <row r="40" spans="1:11" x14ac:dyDescent="0.3">
      <c r="A40">
        <v>35</v>
      </c>
      <c r="B40" s="1" t="s">
        <v>7</v>
      </c>
      <c r="C40">
        <v>7</v>
      </c>
      <c r="D40">
        <v>37</v>
      </c>
      <c r="E40" s="6">
        <v>90.860399999999998</v>
      </c>
      <c r="F40" s="6">
        <f>D40*E40</f>
        <v>3361.8348000000001</v>
      </c>
      <c r="G40" s="4">
        <f>F40/$F$95</f>
        <v>9.5060495507545695E-3</v>
      </c>
      <c r="H40" s="4">
        <f t="shared" si="1"/>
        <v>0.77143145580041628</v>
      </c>
      <c r="I40" s="6">
        <v>60</v>
      </c>
      <c r="J40" s="6">
        <f t="shared" si="0"/>
        <v>16.354872</v>
      </c>
      <c r="K40">
        <v>24</v>
      </c>
    </row>
    <row r="41" spans="1:11" x14ac:dyDescent="0.3">
      <c r="A41">
        <v>36</v>
      </c>
      <c r="B41" s="1" t="s">
        <v>13</v>
      </c>
      <c r="C41">
        <v>68</v>
      </c>
      <c r="D41">
        <v>82</v>
      </c>
      <c r="E41" s="6">
        <v>38.742000000000004</v>
      </c>
      <c r="F41" s="6">
        <f>D41*E41</f>
        <v>3176.8440000000005</v>
      </c>
      <c r="G41" s="4">
        <f>F41/$F$95</f>
        <v>8.982962660454747E-3</v>
      </c>
      <c r="H41" s="4">
        <f t="shared" si="1"/>
        <v>0.78041441846087101</v>
      </c>
      <c r="I41" s="6">
        <v>15</v>
      </c>
      <c r="J41" s="6">
        <f t="shared" si="0"/>
        <v>6.9735600000000009</v>
      </c>
      <c r="K41">
        <v>24</v>
      </c>
    </row>
    <row r="42" spans="1:11" x14ac:dyDescent="0.3">
      <c r="A42">
        <v>37</v>
      </c>
      <c r="B42" s="1" t="s">
        <v>84</v>
      </c>
      <c r="C42">
        <v>35</v>
      </c>
      <c r="D42">
        <v>60</v>
      </c>
      <c r="E42" s="6">
        <v>50.547600000000003</v>
      </c>
      <c r="F42" s="6">
        <f>D42*E42</f>
        <v>3032.8560000000002</v>
      </c>
      <c r="G42" s="4">
        <f>F42/$F$95</f>
        <v>8.575816817739914E-3</v>
      </c>
      <c r="H42" s="4">
        <f t="shared" si="1"/>
        <v>0.7889902352786109</v>
      </c>
      <c r="I42" s="6">
        <v>35</v>
      </c>
      <c r="J42" s="6">
        <f t="shared" si="0"/>
        <v>9.0985680000000002</v>
      </c>
      <c r="K42">
        <v>24</v>
      </c>
    </row>
    <row r="43" spans="1:11" x14ac:dyDescent="0.3">
      <c r="A43">
        <v>38</v>
      </c>
      <c r="B43" s="1" t="s">
        <v>22</v>
      </c>
      <c r="C43">
        <v>70</v>
      </c>
      <c r="D43">
        <v>75</v>
      </c>
      <c r="E43" s="6">
        <v>40.018000000000008</v>
      </c>
      <c r="F43" s="6">
        <f>D43*E43</f>
        <v>3001.3500000000004</v>
      </c>
      <c r="G43" s="4">
        <f>F43/$F$95</f>
        <v>8.4867292762741426E-3</v>
      </c>
      <c r="H43" s="4">
        <f t="shared" si="1"/>
        <v>0.79747696455488504</v>
      </c>
      <c r="I43" s="6">
        <v>15</v>
      </c>
      <c r="J43" s="6">
        <f t="shared" si="0"/>
        <v>7.203240000000001</v>
      </c>
      <c r="K43">
        <v>24</v>
      </c>
    </row>
    <row r="44" spans="1:11" x14ac:dyDescent="0.3">
      <c r="A44">
        <v>39</v>
      </c>
      <c r="B44" s="1" t="s">
        <v>59</v>
      </c>
      <c r="C44">
        <v>33</v>
      </c>
      <c r="D44">
        <v>61</v>
      </c>
      <c r="E44" s="6">
        <v>48.587499999999999</v>
      </c>
      <c r="F44" s="6">
        <f>D44*E44</f>
        <v>2963.8375000000001</v>
      </c>
      <c r="G44" s="4">
        <f>F44/$F$95</f>
        <v>8.3806575312339992E-3</v>
      </c>
      <c r="H44" s="4">
        <f t="shared" si="1"/>
        <v>0.805857622086119</v>
      </c>
      <c r="I44" s="6">
        <v>35</v>
      </c>
      <c r="J44" s="6">
        <f t="shared" si="0"/>
        <v>8.7457499999999992</v>
      </c>
      <c r="K44">
        <v>24</v>
      </c>
    </row>
    <row r="45" spans="1:11" x14ac:dyDescent="0.3">
      <c r="A45">
        <v>40</v>
      </c>
      <c r="B45" s="1" t="s">
        <v>79</v>
      </c>
      <c r="C45">
        <v>61</v>
      </c>
      <c r="D45">
        <v>77</v>
      </c>
      <c r="E45" s="6">
        <v>38.271999999999998</v>
      </c>
      <c r="F45" s="6">
        <f>D45*E45</f>
        <v>2946.944</v>
      </c>
      <c r="G45" s="4">
        <f>F45/$F$95</f>
        <v>8.3328888401354145E-3</v>
      </c>
      <c r="H45" s="4">
        <f t="shared" si="1"/>
        <v>0.81419051092625438</v>
      </c>
      <c r="I45" s="6">
        <v>35</v>
      </c>
      <c r="J45" s="6">
        <f t="shared" si="0"/>
        <v>6.8889599999999991</v>
      </c>
      <c r="K45">
        <v>24</v>
      </c>
    </row>
    <row r="46" spans="1:11" x14ac:dyDescent="0.3">
      <c r="A46">
        <v>41</v>
      </c>
      <c r="B46" s="1" t="s">
        <v>42</v>
      </c>
      <c r="C46">
        <v>36</v>
      </c>
      <c r="D46">
        <v>67</v>
      </c>
      <c r="E46" s="6">
        <v>41.472000000000001</v>
      </c>
      <c r="F46" s="6">
        <f>D46*E46</f>
        <v>2778.6240000000003</v>
      </c>
      <c r="G46" s="4">
        <f>F46/$F$95</f>
        <v>7.8569409261025746E-3</v>
      </c>
      <c r="H46" s="4">
        <f t="shared" si="1"/>
        <v>0.82204745185235695</v>
      </c>
      <c r="I46" s="6">
        <v>35</v>
      </c>
      <c r="J46" s="6">
        <f t="shared" si="0"/>
        <v>7.4649599999999996</v>
      </c>
      <c r="K46">
        <v>24</v>
      </c>
    </row>
    <row r="47" spans="1:11" x14ac:dyDescent="0.3">
      <c r="A47">
        <v>42</v>
      </c>
      <c r="B47" s="1" t="s">
        <v>43</v>
      </c>
      <c r="C47">
        <v>23</v>
      </c>
      <c r="D47">
        <v>43</v>
      </c>
      <c r="E47" s="6">
        <v>61.831000000000003</v>
      </c>
      <c r="F47" s="6">
        <f>D47*E47</f>
        <v>2658.7330000000002</v>
      </c>
      <c r="G47" s="4">
        <f>F47/$F$95</f>
        <v>7.517932659935089E-3</v>
      </c>
      <c r="H47" s="4">
        <f t="shared" si="1"/>
        <v>0.829565384512292</v>
      </c>
      <c r="I47" s="6">
        <v>50</v>
      </c>
      <c r="J47" s="6">
        <f t="shared" si="0"/>
        <v>11.129580000000001</v>
      </c>
      <c r="K47">
        <v>24</v>
      </c>
    </row>
    <row r="48" spans="1:11" x14ac:dyDescent="0.3">
      <c r="A48">
        <v>43</v>
      </c>
      <c r="B48" s="1" t="s">
        <v>19</v>
      </c>
      <c r="C48">
        <v>43</v>
      </c>
      <c r="D48">
        <v>79</v>
      </c>
      <c r="E48" s="6">
        <v>33.550000000000004</v>
      </c>
      <c r="F48" s="6">
        <f>D48*E48</f>
        <v>2650.4500000000003</v>
      </c>
      <c r="G48" s="4">
        <f>F48/$F$95</f>
        <v>7.4945113399972688E-3</v>
      </c>
      <c r="H48" s="4">
        <f t="shared" si="1"/>
        <v>0.83705989585228924</v>
      </c>
      <c r="I48" s="6">
        <v>35</v>
      </c>
      <c r="J48" s="6">
        <f t="shared" si="0"/>
        <v>6.0390000000000006</v>
      </c>
      <c r="K48">
        <v>24</v>
      </c>
    </row>
    <row r="49" spans="1:11" x14ac:dyDescent="0.3">
      <c r="A49">
        <v>44</v>
      </c>
      <c r="B49" s="1" t="s">
        <v>81</v>
      </c>
      <c r="C49">
        <v>31</v>
      </c>
      <c r="D49">
        <v>64</v>
      </c>
      <c r="E49" s="6">
        <v>41.007699999999993</v>
      </c>
      <c r="F49" s="6">
        <f>D49*E49</f>
        <v>2624.4927999999995</v>
      </c>
      <c r="G49" s="4">
        <f>F49/$F$95</f>
        <v>7.4211137925036044E-3</v>
      </c>
      <c r="H49" s="4">
        <f t="shared" si="1"/>
        <v>0.84448100964479289</v>
      </c>
      <c r="I49" s="6">
        <v>35</v>
      </c>
      <c r="J49" s="6">
        <f t="shared" si="0"/>
        <v>7.3813859999999982</v>
      </c>
      <c r="K49">
        <v>24</v>
      </c>
    </row>
    <row r="50" spans="1:11" x14ac:dyDescent="0.3">
      <c r="A50">
        <v>45</v>
      </c>
      <c r="B50" s="1" t="s">
        <v>21</v>
      </c>
      <c r="C50">
        <v>23</v>
      </c>
      <c r="D50">
        <v>52</v>
      </c>
      <c r="E50" s="6">
        <v>50.022500000000015</v>
      </c>
      <c r="F50" s="6">
        <f>D50*E50</f>
        <v>2601.170000000001</v>
      </c>
      <c r="G50" s="4">
        <f>F50/$F$95</f>
        <v>7.3551653727709256E-3</v>
      </c>
      <c r="H50" s="4">
        <f t="shared" si="1"/>
        <v>0.85183617501756381</v>
      </c>
      <c r="I50" s="6">
        <v>50</v>
      </c>
      <c r="J50" s="6">
        <f t="shared" si="0"/>
        <v>9.004050000000003</v>
      </c>
      <c r="K50">
        <v>24</v>
      </c>
    </row>
    <row r="51" spans="1:11" x14ac:dyDescent="0.3">
      <c r="A51">
        <v>46</v>
      </c>
      <c r="B51" s="1" t="s">
        <v>66</v>
      </c>
      <c r="C51">
        <v>60</v>
      </c>
      <c r="D51">
        <v>77</v>
      </c>
      <c r="E51" s="6">
        <v>33.695</v>
      </c>
      <c r="F51" s="6">
        <f>D51*E51</f>
        <v>2594.5149999999999</v>
      </c>
      <c r="G51" s="4">
        <f>F51/$F$95</f>
        <v>7.3363474463932583E-3</v>
      </c>
      <c r="H51" s="4">
        <f t="shared" si="1"/>
        <v>0.85917252246395703</v>
      </c>
      <c r="I51" s="6">
        <v>35</v>
      </c>
      <c r="J51" s="6">
        <f t="shared" si="0"/>
        <v>6.0651000000000002</v>
      </c>
      <c r="K51">
        <v>24</v>
      </c>
    </row>
    <row r="52" spans="1:11" x14ac:dyDescent="0.3">
      <c r="A52">
        <v>47</v>
      </c>
      <c r="B52" s="1" t="s">
        <v>25</v>
      </c>
      <c r="C52">
        <v>34</v>
      </c>
      <c r="D52">
        <v>52</v>
      </c>
      <c r="E52" s="6">
        <v>47.573999999999998</v>
      </c>
      <c r="F52" s="6">
        <f>D52*E52</f>
        <v>2473.848</v>
      </c>
      <c r="G52" s="4">
        <f>F52/$F$95</f>
        <v>6.9951449336639292E-3</v>
      </c>
      <c r="H52" s="4">
        <f t="shared" si="1"/>
        <v>0.86616766739762097</v>
      </c>
      <c r="I52" s="6">
        <v>50</v>
      </c>
      <c r="J52" s="6">
        <f t="shared" si="0"/>
        <v>8.5633199999999992</v>
      </c>
      <c r="K52">
        <v>24</v>
      </c>
    </row>
    <row r="53" spans="1:11" x14ac:dyDescent="0.3">
      <c r="A53">
        <v>48</v>
      </c>
      <c r="B53" s="1" t="s">
        <v>16</v>
      </c>
      <c r="C53">
        <v>86</v>
      </c>
      <c r="D53">
        <v>89</v>
      </c>
      <c r="E53" s="6">
        <v>26.400000000000002</v>
      </c>
      <c r="F53" s="6">
        <f>D53*E53</f>
        <v>2349.6000000000004</v>
      </c>
      <c r="G53" s="4">
        <f>F53/$F$95</f>
        <v>6.643816651684651E-3</v>
      </c>
      <c r="H53" s="4">
        <f t="shared" si="1"/>
        <v>0.87281148404930564</v>
      </c>
      <c r="I53" s="6">
        <v>15</v>
      </c>
      <c r="J53" s="6">
        <f t="shared" si="0"/>
        <v>4.7519999999999998</v>
      </c>
      <c r="K53">
        <v>24</v>
      </c>
    </row>
    <row r="54" spans="1:11" x14ac:dyDescent="0.3">
      <c r="A54">
        <v>49</v>
      </c>
      <c r="B54" s="1" t="s">
        <v>41</v>
      </c>
      <c r="C54">
        <v>15</v>
      </c>
      <c r="D54">
        <v>49</v>
      </c>
      <c r="E54" s="6">
        <v>45.529000000000003</v>
      </c>
      <c r="F54" s="6">
        <f>D54*E54</f>
        <v>2230.9210000000003</v>
      </c>
      <c r="G54" s="4">
        <f>F54/$F$95</f>
        <v>6.3082354819513848E-3</v>
      </c>
      <c r="H54" s="4">
        <f t="shared" si="1"/>
        <v>0.879119719531257</v>
      </c>
      <c r="I54" s="6">
        <v>50</v>
      </c>
      <c r="J54" s="6">
        <f t="shared" si="0"/>
        <v>8.1952200000000008</v>
      </c>
      <c r="K54">
        <v>24</v>
      </c>
    </row>
    <row r="55" spans="1:11" x14ac:dyDescent="0.3">
      <c r="A55">
        <v>50</v>
      </c>
      <c r="B55" s="1" t="s">
        <v>77</v>
      </c>
      <c r="C55">
        <v>50</v>
      </c>
      <c r="D55">
        <v>76</v>
      </c>
      <c r="E55" s="6">
        <v>28.2</v>
      </c>
      <c r="F55" s="6">
        <f>D55*E55</f>
        <v>2143.1999999999998</v>
      </c>
      <c r="G55" s="4">
        <f>F55/$F$95</f>
        <v>6.0601923084314521E-3</v>
      </c>
      <c r="H55" s="4">
        <f t="shared" si="1"/>
        <v>0.88517991183968847</v>
      </c>
      <c r="I55" s="6">
        <v>35</v>
      </c>
      <c r="J55" s="6">
        <f t="shared" si="0"/>
        <v>5.0759999999999996</v>
      </c>
      <c r="K55">
        <v>24</v>
      </c>
    </row>
    <row r="56" spans="1:11" x14ac:dyDescent="0.3">
      <c r="A56">
        <v>51</v>
      </c>
      <c r="B56" s="1" t="s">
        <v>56</v>
      </c>
      <c r="C56">
        <v>41</v>
      </c>
      <c r="D56">
        <v>84</v>
      </c>
      <c r="E56" s="6">
        <v>24.4758</v>
      </c>
      <c r="F56" s="6">
        <f>D56*E56</f>
        <v>2055.9672</v>
      </c>
      <c r="G56" s="4">
        <f>F56/$F$95</f>
        <v>5.8135295874521048E-3</v>
      </c>
      <c r="H56" s="4">
        <f t="shared" si="1"/>
        <v>0.89099344142714054</v>
      </c>
      <c r="I56" s="6">
        <v>35</v>
      </c>
      <c r="J56" s="6">
        <f t="shared" si="0"/>
        <v>4.4056439999999997</v>
      </c>
      <c r="K56">
        <v>24</v>
      </c>
    </row>
    <row r="57" spans="1:11" x14ac:dyDescent="0.3">
      <c r="A57">
        <v>52</v>
      </c>
      <c r="B57" s="1" t="s">
        <v>47</v>
      </c>
      <c r="C57">
        <v>65</v>
      </c>
      <c r="D57">
        <v>85</v>
      </c>
      <c r="E57" s="6">
        <v>22.884999999999998</v>
      </c>
      <c r="F57" s="6">
        <f>D57*E57</f>
        <v>1945.2249999999999</v>
      </c>
      <c r="G57" s="4">
        <f>F57/$F$95</f>
        <v>5.5003908096157954E-3</v>
      </c>
      <c r="H57" s="4">
        <f t="shared" si="1"/>
        <v>0.89649383223675638</v>
      </c>
      <c r="I57" s="6">
        <v>15</v>
      </c>
      <c r="J57" s="6">
        <f t="shared" si="0"/>
        <v>4.1192999999999991</v>
      </c>
      <c r="K57">
        <v>24</v>
      </c>
    </row>
    <row r="58" spans="1:11" x14ac:dyDescent="0.3">
      <c r="A58">
        <v>53</v>
      </c>
      <c r="B58" s="1" t="s">
        <v>38</v>
      </c>
      <c r="C58">
        <v>40</v>
      </c>
      <c r="D58">
        <v>71</v>
      </c>
      <c r="E58" s="6">
        <v>26.565000000000001</v>
      </c>
      <c r="F58" s="6">
        <f>D58*E58</f>
        <v>1886.115</v>
      </c>
      <c r="G58" s="4">
        <f>F58/$F$95</f>
        <v>5.3332491675145526E-3</v>
      </c>
      <c r="H58" s="4">
        <f t="shared" si="1"/>
        <v>0.90182708140427092</v>
      </c>
      <c r="I58" s="6">
        <v>35</v>
      </c>
      <c r="J58" s="6">
        <f t="shared" si="0"/>
        <v>4.7816999999999998</v>
      </c>
      <c r="K58">
        <v>24</v>
      </c>
    </row>
    <row r="59" spans="1:11" x14ac:dyDescent="0.3">
      <c r="A59">
        <v>54</v>
      </c>
      <c r="B59" s="1" t="s">
        <v>82</v>
      </c>
      <c r="C59">
        <v>7</v>
      </c>
      <c r="D59">
        <v>43</v>
      </c>
      <c r="E59" s="6">
        <v>42.313333333333333</v>
      </c>
      <c r="F59" s="6">
        <f>D59*E59</f>
        <v>1819.4733333333334</v>
      </c>
      <c r="G59" s="4">
        <f>F59/$F$95</f>
        <v>5.144810703650058E-3</v>
      </c>
      <c r="H59" s="4">
        <f t="shared" si="1"/>
        <v>0.90697189210792095</v>
      </c>
      <c r="I59" s="6">
        <v>50</v>
      </c>
      <c r="J59" s="6">
        <f t="shared" si="0"/>
        <v>7.6163999999999996</v>
      </c>
      <c r="K59">
        <v>24</v>
      </c>
    </row>
    <row r="60" spans="1:11" x14ac:dyDescent="0.3">
      <c r="A60">
        <v>55</v>
      </c>
      <c r="B60" s="1" t="s">
        <v>18</v>
      </c>
      <c r="C60">
        <v>27</v>
      </c>
      <c r="D60">
        <v>64</v>
      </c>
      <c r="E60" s="6">
        <v>28.05</v>
      </c>
      <c r="F60" s="6">
        <f>D60*E60</f>
        <v>1795.2</v>
      </c>
      <c r="G60" s="4">
        <f>F60/$F$95</f>
        <v>5.0761745203882717E-3</v>
      </c>
      <c r="H60" s="4">
        <f t="shared" si="1"/>
        <v>0.91204806662830917</v>
      </c>
      <c r="I60" s="6">
        <v>35</v>
      </c>
      <c r="J60" s="6">
        <f t="shared" si="0"/>
        <v>5.0490000000000004</v>
      </c>
      <c r="K60">
        <v>24</v>
      </c>
    </row>
    <row r="61" spans="1:11" x14ac:dyDescent="0.3">
      <c r="A61">
        <v>56</v>
      </c>
      <c r="B61" s="1" t="s">
        <v>39</v>
      </c>
      <c r="C61">
        <v>30</v>
      </c>
      <c r="D61">
        <v>45</v>
      </c>
      <c r="E61" s="6">
        <v>37.081000000000003</v>
      </c>
      <c r="F61" s="6">
        <f>D61*E61</f>
        <v>1668.6450000000002</v>
      </c>
      <c r="G61" s="4">
        <f>F61/$F$95</f>
        <v>4.7183228791072241E-3</v>
      </c>
      <c r="H61" s="4">
        <f t="shared" si="1"/>
        <v>0.9167663895074164</v>
      </c>
      <c r="I61" s="6">
        <v>50</v>
      </c>
      <c r="J61" s="6">
        <f t="shared" si="0"/>
        <v>6.6745800000000006</v>
      </c>
      <c r="K61">
        <v>24</v>
      </c>
    </row>
    <row r="62" spans="1:11" x14ac:dyDescent="0.3">
      <c r="A62">
        <v>57</v>
      </c>
      <c r="B62" s="1" t="s">
        <v>80</v>
      </c>
      <c r="C62">
        <v>9</v>
      </c>
      <c r="D62">
        <v>50</v>
      </c>
      <c r="E62" s="6">
        <v>33.265833333333333</v>
      </c>
      <c r="F62" s="6">
        <f>D62*E62</f>
        <v>1663.2916666666667</v>
      </c>
      <c r="G62" s="4">
        <f>F62/$F$95</f>
        <v>4.7031855939769808E-3</v>
      </c>
      <c r="H62" s="4">
        <f t="shared" si="1"/>
        <v>0.92146957510139338</v>
      </c>
      <c r="I62" s="6">
        <v>50</v>
      </c>
      <c r="J62" s="6">
        <f t="shared" si="0"/>
        <v>5.9878499999999999</v>
      </c>
      <c r="K62">
        <v>24</v>
      </c>
    </row>
    <row r="63" spans="1:11" x14ac:dyDescent="0.3">
      <c r="A63">
        <v>58</v>
      </c>
      <c r="B63" s="1" t="s">
        <v>27</v>
      </c>
      <c r="C63">
        <v>3</v>
      </c>
      <c r="D63">
        <v>31</v>
      </c>
      <c r="E63" s="6">
        <v>48.807000000000002</v>
      </c>
      <c r="F63" s="6">
        <f>D63*E63</f>
        <v>1513.0170000000001</v>
      </c>
      <c r="G63" s="4">
        <f>F63/$F$95</f>
        <v>4.2782633379647404E-3</v>
      </c>
      <c r="H63" s="4">
        <f t="shared" si="1"/>
        <v>0.92574783843935815</v>
      </c>
      <c r="I63" s="6">
        <v>60</v>
      </c>
      <c r="J63" s="6">
        <f t="shared" si="0"/>
        <v>8.7852599999999992</v>
      </c>
      <c r="K63">
        <v>24</v>
      </c>
    </row>
    <row r="64" spans="1:11" x14ac:dyDescent="0.3">
      <c r="A64">
        <v>59</v>
      </c>
      <c r="B64" s="1" t="s">
        <v>76</v>
      </c>
      <c r="C64">
        <v>53</v>
      </c>
      <c r="D64">
        <v>70</v>
      </c>
      <c r="E64" s="6">
        <v>21.541666666666668</v>
      </c>
      <c r="F64" s="6">
        <f>D64*E64</f>
        <v>1507.9166666666667</v>
      </c>
      <c r="G64" s="4">
        <f>F64/$F$95</f>
        <v>4.2638414450769544E-3</v>
      </c>
      <c r="H64" s="4">
        <f t="shared" si="1"/>
        <v>0.93001167988443512</v>
      </c>
      <c r="I64" s="6">
        <v>35</v>
      </c>
      <c r="J64" s="6">
        <f t="shared" si="0"/>
        <v>3.8774999999999999</v>
      </c>
      <c r="K64">
        <v>24</v>
      </c>
    </row>
    <row r="65" spans="1:11" x14ac:dyDescent="0.3">
      <c r="A65">
        <v>60</v>
      </c>
      <c r="B65" s="1" t="s">
        <v>62</v>
      </c>
      <c r="C65">
        <v>1</v>
      </c>
      <c r="D65">
        <v>35</v>
      </c>
      <c r="E65" s="6">
        <v>42.262499999999996</v>
      </c>
      <c r="F65" s="6">
        <f>D65*E65</f>
        <v>1479.1874999999998</v>
      </c>
      <c r="G65" s="4">
        <f>F65/$F$95</f>
        <v>4.1826057811813868E-3</v>
      </c>
      <c r="H65" s="4">
        <f t="shared" si="1"/>
        <v>0.93419428566561646</v>
      </c>
      <c r="I65" s="6">
        <v>60</v>
      </c>
      <c r="J65" s="6">
        <f t="shared" si="0"/>
        <v>7.6072499999999987</v>
      </c>
      <c r="K65">
        <v>24</v>
      </c>
    </row>
    <row r="66" spans="1:11" x14ac:dyDescent="0.3">
      <c r="A66">
        <v>61</v>
      </c>
      <c r="B66" s="1" t="s">
        <v>20</v>
      </c>
      <c r="C66">
        <v>11</v>
      </c>
      <c r="D66">
        <v>39</v>
      </c>
      <c r="E66" s="6">
        <v>35.739000000000004</v>
      </c>
      <c r="F66" s="6">
        <f>D66*E66</f>
        <v>1393.8210000000001</v>
      </c>
      <c r="G66" s="4">
        <f>F66/$F$95</f>
        <v>3.9412202797360196E-3</v>
      </c>
      <c r="H66" s="4">
        <f t="shared" si="1"/>
        <v>0.93813550594535244</v>
      </c>
      <c r="I66" s="6">
        <v>50</v>
      </c>
      <c r="J66" s="6">
        <f t="shared" si="0"/>
        <v>6.4330200000000008</v>
      </c>
      <c r="K66">
        <v>24</v>
      </c>
    </row>
    <row r="67" spans="1:11" x14ac:dyDescent="0.3">
      <c r="A67">
        <v>62</v>
      </c>
      <c r="B67" s="1" t="s">
        <v>86</v>
      </c>
      <c r="C67">
        <v>26</v>
      </c>
      <c r="D67">
        <v>22</v>
      </c>
      <c r="E67" s="6">
        <v>63.041000000000011</v>
      </c>
      <c r="F67" s="6">
        <f>D67*E67</f>
        <v>1386.9020000000003</v>
      </c>
      <c r="G67" s="4">
        <f>F67/$F$95</f>
        <v>3.9216558571053568E-3</v>
      </c>
      <c r="H67" s="4">
        <f t="shared" si="1"/>
        <v>0.9420571618024578</v>
      </c>
      <c r="I67" s="6">
        <v>60</v>
      </c>
      <c r="J67" s="6">
        <f t="shared" si="0"/>
        <v>11.347380000000001</v>
      </c>
      <c r="K67">
        <v>24</v>
      </c>
    </row>
    <row r="68" spans="1:11" x14ac:dyDescent="0.3">
      <c r="A68">
        <v>63</v>
      </c>
      <c r="B68" s="1" t="s">
        <v>55</v>
      </c>
      <c r="C68">
        <v>6</v>
      </c>
      <c r="D68">
        <v>43</v>
      </c>
      <c r="E68" s="6">
        <v>30.106999999999996</v>
      </c>
      <c r="F68" s="6">
        <f>D68*E68</f>
        <v>1294.6009999999999</v>
      </c>
      <c r="G68" s="4">
        <f>F68/$F$95</f>
        <v>3.6606621046508339E-3</v>
      </c>
      <c r="H68" s="4">
        <f t="shared" si="1"/>
        <v>0.94571782390710868</v>
      </c>
      <c r="I68" s="6">
        <v>60</v>
      </c>
      <c r="J68" s="6">
        <f t="shared" si="0"/>
        <v>5.4192599999999986</v>
      </c>
      <c r="K68">
        <v>24</v>
      </c>
    </row>
    <row r="69" spans="1:11" x14ac:dyDescent="0.3">
      <c r="A69">
        <v>64</v>
      </c>
      <c r="B69" s="1" t="s">
        <v>58</v>
      </c>
      <c r="C69">
        <v>20</v>
      </c>
      <c r="D69">
        <v>38</v>
      </c>
      <c r="E69" s="6">
        <v>32.8095</v>
      </c>
      <c r="F69" s="6">
        <f>D69*E69</f>
        <v>1246.761</v>
      </c>
      <c r="G69" s="4">
        <f>F69/$F$95</f>
        <v>3.5253879351681162E-3</v>
      </c>
      <c r="H69" s="4">
        <f t="shared" si="1"/>
        <v>0.94924321184227678</v>
      </c>
      <c r="I69" s="6">
        <v>50</v>
      </c>
      <c r="J69" s="6">
        <f t="shared" si="0"/>
        <v>5.90571</v>
      </c>
      <c r="K69">
        <v>24</v>
      </c>
    </row>
    <row r="70" spans="1:11" x14ac:dyDescent="0.3">
      <c r="A70">
        <v>65</v>
      </c>
      <c r="B70" s="1" t="s">
        <v>61</v>
      </c>
      <c r="C70">
        <v>15</v>
      </c>
      <c r="D70">
        <v>46</v>
      </c>
      <c r="E70" s="6">
        <v>26.208499999999997</v>
      </c>
      <c r="F70" s="6">
        <f>D70*E70</f>
        <v>1205.5909999999999</v>
      </c>
      <c r="G70" s="4">
        <f>F70/$F$95</f>
        <v>3.4089741066228923E-3</v>
      </c>
      <c r="H70" s="4">
        <f t="shared" si="1"/>
        <v>0.95265218594889967</v>
      </c>
      <c r="I70" s="6">
        <v>50</v>
      </c>
      <c r="J70" s="6">
        <f t="shared" si="0"/>
        <v>4.7175299999999991</v>
      </c>
      <c r="K70">
        <v>24</v>
      </c>
    </row>
    <row r="71" spans="1:11" x14ac:dyDescent="0.3">
      <c r="A71">
        <v>66</v>
      </c>
      <c r="B71" s="1" t="s">
        <v>65</v>
      </c>
      <c r="C71">
        <v>22</v>
      </c>
      <c r="D71">
        <v>47</v>
      </c>
      <c r="E71" s="6">
        <v>25.581599999999998</v>
      </c>
      <c r="F71" s="6">
        <f>D71*E71</f>
        <v>1202.3352</v>
      </c>
      <c r="G71" s="4">
        <f>F71/$F$95</f>
        <v>3.3997678850300451E-3</v>
      </c>
      <c r="H71" s="4">
        <f t="shared" si="1"/>
        <v>0.95605195383392971</v>
      </c>
      <c r="I71" s="6">
        <v>50</v>
      </c>
      <c r="J71" s="6">
        <f t="shared" ref="J71:J94" si="2">0.18*E71</f>
        <v>4.6046879999999994</v>
      </c>
      <c r="K71">
        <v>24</v>
      </c>
    </row>
    <row r="72" spans="1:11" x14ac:dyDescent="0.3">
      <c r="A72">
        <v>67</v>
      </c>
      <c r="B72" s="1" t="s">
        <v>48</v>
      </c>
      <c r="C72">
        <v>38</v>
      </c>
      <c r="D72">
        <v>40</v>
      </c>
      <c r="E72" s="6">
        <v>27.83</v>
      </c>
      <c r="F72" s="6">
        <f>D72*E72</f>
        <v>1113.1999999999998</v>
      </c>
      <c r="G72" s="4">
        <f>F72/$F$95</f>
        <v>3.1477258668093934E-3</v>
      </c>
      <c r="H72" s="4">
        <f t="shared" ref="H72:H94" si="3">H71+G72</f>
        <v>0.95919967970073916</v>
      </c>
      <c r="I72" s="6">
        <v>50</v>
      </c>
      <c r="J72" s="6">
        <f t="shared" si="2"/>
        <v>5.0093999999999994</v>
      </c>
      <c r="K72">
        <v>24</v>
      </c>
    </row>
    <row r="73" spans="1:11" x14ac:dyDescent="0.3">
      <c r="A73">
        <v>68</v>
      </c>
      <c r="B73" s="1" t="s">
        <v>78</v>
      </c>
      <c r="C73">
        <v>15</v>
      </c>
      <c r="D73">
        <v>40</v>
      </c>
      <c r="E73" s="6">
        <v>27.456000000000003</v>
      </c>
      <c r="F73" s="6">
        <f>D73*E73</f>
        <v>1098.2400000000002</v>
      </c>
      <c r="G73" s="4">
        <f>F73/$F$95</f>
        <v>3.1054244124728257E-3</v>
      </c>
      <c r="H73" s="4">
        <f t="shared" si="3"/>
        <v>0.96230510411321202</v>
      </c>
      <c r="I73" s="6">
        <v>50</v>
      </c>
      <c r="J73" s="6">
        <f t="shared" si="2"/>
        <v>4.9420800000000007</v>
      </c>
      <c r="K73">
        <v>24</v>
      </c>
    </row>
    <row r="74" spans="1:11" x14ac:dyDescent="0.3">
      <c r="A74">
        <v>69</v>
      </c>
      <c r="B74" s="1" t="s">
        <v>54</v>
      </c>
      <c r="C74">
        <v>26</v>
      </c>
      <c r="D74">
        <v>51</v>
      </c>
      <c r="E74" s="6">
        <v>20.5505</v>
      </c>
      <c r="F74" s="6">
        <f>D74*E74</f>
        <v>1048.0754999999999</v>
      </c>
      <c r="G74" s="4">
        <f>F74/$F$95</f>
        <v>2.963577400035204E-3</v>
      </c>
      <c r="H74" s="4">
        <f t="shared" si="3"/>
        <v>0.96526868151324718</v>
      </c>
      <c r="I74" s="6">
        <v>50</v>
      </c>
      <c r="J74" s="6">
        <f t="shared" si="2"/>
        <v>3.69909</v>
      </c>
      <c r="K74">
        <v>24</v>
      </c>
    </row>
    <row r="75" spans="1:11" x14ac:dyDescent="0.3">
      <c r="A75">
        <v>70</v>
      </c>
      <c r="B75" s="1" t="s">
        <v>67</v>
      </c>
      <c r="C75">
        <v>13</v>
      </c>
      <c r="D75">
        <v>54</v>
      </c>
      <c r="E75" s="6">
        <v>19.008009999999999</v>
      </c>
      <c r="F75" s="6">
        <f>D75*E75</f>
        <v>1026.43254</v>
      </c>
      <c r="G75" s="4">
        <f>F75/$F$95</f>
        <v>2.9023789585814483E-3</v>
      </c>
      <c r="H75" s="4">
        <f t="shared" si="3"/>
        <v>0.96817106047182866</v>
      </c>
      <c r="I75" s="6">
        <v>50</v>
      </c>
      <c r="J75" s="6">
        <f t="shared" si="2"/>
        <v>3.4214417999999998</v>
      </c>
      <c r="K75">
        <v>24</v>
      </c>
    </row>
    <row r="76" spans="1:11" x14ac:dyDescent="0.3">
      <c r="A76">
        <v>71</v>
      </c>
      <c r="B76" s="1" t="s">
        <v>46</v>
      </c>
      <c r="C76">
        <v>52</v>
      </c>
      <c r="D76">
        <v>57</v>
      </c>
      <c r="E76" s="6">
        <v>17.939999999999998</v>
      </c>
      <c r="F76" s="6">
        <f>D76*E76</f>
        <v>1022.5799999999999</v>
      </c>
      <c r="G76" s="4">
        <f>F76/$F$95</f>
        <v>2.8914853726930922E-3</v>
      </c>
      <c r="H76" s="4">
        <f t="shared" si="3"/>
        <v>0.97106254584452179</v>
      </c>
      <c r="I76" s="6">
        <v>35</v>
      </c>
      <c r="J76" s="6">
        <f t="shared" si="2"/>
        <v>3.2291999999999996</v>
      </c>
      <c r="K76">
        <v>24</v>
      </c>
    </row>
    <row r="77" spans="1:11" x14ac:dyDescent="0.3">
      <c r="A77">
        <v>72</v>
      </c>
      <c r="B77" s="1" t="s">
        <v>60</v>
      </c>
      <c r="C77">
        <v>51</v>
      </c>
      <c r="D77">
        <v>65</v>
      </c>
      <c r="E77" s="6">
        <v>15.524999999999999</v>
      </c>
      <c r="F77" s="6">
        <f>D77*E77</f>
        <v>1009.1249999999999</v>
      </c>
      <c r="G77" s="4">
        <f>F77/$F$95</f>
        <v>2.8534395125260773E-3</v>
      </c>
      <c r="H77" s="4">
        <f t="shared" si="3"/>
        <v>0.97391598535704782</v>
      </c>
      <c r="I77" s="6">
        <v>35</v>
      </c>
      <c r="J77" s="6">
        <f t="shared" si="2"/>
        <v>2.7944999999999998</v>
      </c>
      <c r="K77">
        <v>24</v>
      </c>
    </row>
    <row r="78" spans="1:11" x14ac:dyDescent="0.3">
      <c r="A78">
        <v>73</v>
      </c>
      <c r="B78" s="1" t="s">
        <v>75</v>
      </c>
      <c r="C78">
        <v>77</v>
      </c>
      <c r="D78">
        <v>122</v>
      </c>
      <c r="E78" s="6">
        <v>7.5075000000000003</v>
      </c>
      <c r="F78" s="6">
        <f>D78*E78</f>
        <v>915.91500000000008</v>
      </c>
      <c r="G78" s="4">
        <f>F78/$F$95</f>
        <v>2.5898754377458913E-3</v>
      </c>
      <c r="H78" s="4">
        <f t="shared" si="3"/>
        <v>0.97650586079479373</v>
      </c>
      <c r="I78" s="6">
        <v>15</v>
      </c>
      <c r="J78" s="6">
        <f t="shared" si="2"/>
        <v>1.3513500000000001</v>
      </c>
      <c r="K78">
        <v>24</v>
      </c>
    </row>
    <row r="79" spans="1:11" x14ac:dyDescent="0.3">
      <c r="A79">
        <v>74</v>
      </c>
      <c r="B79" s="1" t="s">
        <v>53</v>
      </c>
      <c r="C79">
        <v>6</v>
      </c>
      <c r="D79">
        <v>36</v>
      </c>
      <c r="E79" s="6">
        <v>24.011999999999997</v>
      </c>
      <c r="F79" s="6">
        <f>D79*E79</f>
        <v>864.4319999999999</v>
      </c>
      <c r="G79" s="4">
        <f>F79/$F$95</f>
        <v>2.4443001854992613E-3</v>
      </c>
      <c r="H79" s="4">
        <f t="shared" si="3"/>
        <v>0.97895016098029297</v>
      </c>
      <c r="I79" s="6">
        <v>60</v>
      </c>
      <c r="J79" s="6">
        <f t="shared" si="2"/>
        <v>4.3221599999999993</v>
      </c>
      <c r="K79">
        <v>24</v>
      </c>
    </row>
    <row r="80" spans="1:11" x14ac:dyDescent="0.3">
      <c r="A80">
        <v>75</v>
      </c>
      <c r="B80" s="1" t="s">
        <v>37</v>
      </c>
      <c r="C80">
        <v>38</v>
      </c>
      <c r="D80">
        <v>41</v>
      </c>
      <c r="E80" s="6">
        <v>20.471999999999998</v>
      </c>
      <c r="F80" s="6">
        <f>D80*E80</f>
        <v>839.35199999999986</v>
      </c>
      <c r="G80" s="4">
        <f>F80/$F$95</f>
        <v>2.3733830414644254E-3</v>
      </c>
      <c r="H80" s="4">
        <f t="shared" si="3"/>
        <v>0.98132354402175737</v>
      </c>
      <c r="I80" s="6">
        <v>50</v>
      </c>
      <c r="J80" s="6">
        <f t="shared" si="2"/>
        <v>3.6849599999999993</v>
      </c>
      <c r="K80">
        <v>24</v>
      </c>
    </row>
    <row r="81" spans="1:11" x14ac:dyDescent="0.3">
      <c r="A81">
        <v>76</v>
      </c>
      <c r="B81" s="1" t="s">
        <v>51</v>
      </c>
      <c r="C81">
        <v>35</v>
      </c>
      <c r="D81">
        <v>62</v>
      </c>
      <c r="E81" s="6">
        <v>11.792000000000002</v>
      </c>
      <c r="F81" s="6">
        <f>D81*E81</f>
        <v>731.10400000000004</v>
      </c>
      <c r="G81" s="4">
        <f>F81/$F$95</f>
        <v>2.067296956636557E-3</v>
      </c>
      <c r="H81" s="4">
        <f t="shared" si="3"/>
        <v>0.98339084097839391</v>
      </c>
      <c r="I81" s="6">
        <v>35</v>
      </c>
      <c r="J81" s="6">
        <f t="shared" si="2"/>
        <v>2.12256</v>
      </c>
      <c r="K81">
        <v>24</v>
      </c>
    </row>
    <row r="82" spans="1:11" x14ac:dyDescent="0.3">
      <c r="A82">
        <v>77</v>
      </c>
      <c r="B82" s="1" t="s">
        <v>17</v>
      </c>
      <c r="C82">
        <v>23</v>
      </c>
      <c r="D82">
        <v>33</v>
      </c>
      <c r="E82" s="6">
        <v>21.037500000000001</v>
      </c>
      <c r="F82" s="6">
        <f>D82*E82</f>
        <v>694.23750000000007</v>
      </c>
      <c r="G82" s="4">
        <f>F82/$F$95</f>
        <v>1.9630518653064024E-3</v>
      </c>
      <c r="H82" s="4">
        <f t="shared" si="3"/>
        <v>0.98535389284370034</v>
      </c>
      <c r="I82" s="6">
        <v>50</v>
      </c>
      <c r="J82" s="6">
        <f t="shared" si="2"/>
        <v>3.7867500000000001</v>
      </c>
      <c r="K82">
        <v>24</v>
      </c>
    </row>
    <row r="83" spans="1:11" x14ac:dyDescent="0.3">
      <c r="A83">
        <v>78</v>
      </c>
      <c r="B83" s="1" t="s">
        <v>40</v>
      </c>
      <c r="C83">
        <v>3</v>
      </c>
      <c r="D83">
        <v>19</v>
      </c>
      <c r="E83" s="6">
        <v>33.902000000000001</v>
      </c>
      <c r="F83" s="6">
        <f>D83*E83</f>
        <v>644.13800000000003</v>
      </c>
      <c r="G83" s="4">
        <f>F83/$F$95</f>
        <v>1.8213886492947087E-3</v>
      </c>
      <c r="H83" s="4">
        <f t="shared" si="3"/>
        <v>0.98717528149299505</v>
      </c>
      <c r="I83" s="6">
        <v>60</v>
      </c>
      <c r="J83" s="6">
        <f t="shared" si="2"/>
        <v>6.10236</v>
      </c>
      <c r="K83">
        <v>24</v>
      </c>
    </row>
    <row r="84" spans="1:11" x14ac:dyDescent="0.3">
      <c r="A84">
        <v>79</v>
      </c>
      <c r="B84" s="1" t="s">
        <v>50</v>
      </c>
      <c r="C84">
        <v>5</v>
      </c>
      <c r="D84">
        <v>48</v>
      </c>
      <c r="E84" s="6">
        <v>12.132</v>
      </c>
      <c r="F84" s="6">
        <f>D84*E84</f>
        <v>582.33600000000001</v>
      </c>
      <c r="G84" s="4">
        <f>F84/$F$95</f>
        <v>1.6466350075227411E-3</v>
      </c>
      <c r="H84" s="4">
        <f t="shared" si="3"/>
        <v>0.98882191650051776</v>
      </c>
      <c r="I84" s="6">
        <v>50</v>
      </c>
      <c r="J84" s="6">
        <f t="shared" si="2"/>
        <v>2.1837599999999999</v>
      </c>
      <c r="K84">
        <v>24</v>
      </c>
    </row>
    <row r="85" spans="1:11" x14ac:dyDescent="0.3">
      <c r="A85">
        <v>80</v>
      </c>
      <c r="B85" s="1" t="s">
        <v>49</v>
      </c>
      <c r="C85">
        <v>31</v>
      </c>
      <c r="D85">
        <v>68</v>
      </c>
      <c r="E85" s="6">
        <v>8.1959999999999997</v>
      </c>
      <c r="F85" s="6">
        <f>D85*E85</f>
        <v>557.32799999999997</v>
      </c>
      <c r="G85" s="4">
        <f>F85/$F$95</f>
        <v>1.5759214533750863E-3</v>
      </c>
      <c r="H85" s="4">
        <f t="shared" si="3"/>
        <v>0.9903978379538928</v>
      </c>
      <c r="I85" s="6">
        <v>35</v>
      </c>
      <c r="J85" s="6">
        <f t="shared" si="2"/>
        <v>1.4752799999999999</v>
      </c>
      <c r="K85">
        <v>24</v>
      </c>
    </row>
    <row r="86" spans="1:11" x14ac:dyDescent="0.3">
      <c r="A86">
        <v>81</v>
      </c>
      <c r="B86" s="1" t="s">
        <v>68</v>
      </c>
      <c r="C86">
        <v>55</v>
      </c>
      <c r="D86">
        <v>77</v>
      </c>
      <c r="E86" s="6">
        <v>7.0029700000000004</v>
      </c>
      <c r="F86" s="6">
        <f>D86*E86</f>
        <v>539.22869000000003</v>
      </c>
      <c r="G86" s="4">
        <f>F86/$F$95</f>
        <v>1.5247431689173051E-3</v>
      </c>
      <c r="H86" s="4">
        <f t="shared" si="3"/>
        <v>0.99192258112281007</v>
      </c>
      <c r="I86" s="6">
        <v>35</v>
      </c>
      <c r="J86" s="6">
        <f t="shared" si="2"/>
        <v>1.2605345999999999</v>
      </c>
      <c r="K86">
        <v>24</v>
      </c>
    </row>
    <row r="87" spans="1:11" x14ac:dyDescent="0.3">
      <c r="A87">
        <v>82</v>
      </c>
      <c r="B87" s="1" t="s">
        <v>52</v>
      </c>
      <c r="C87">
        <v>19</v>
      </c>
      <c r="D87">
        <v>34</v>
      </c>
      <c r="E87" s="6">
        <v>15.490499999999999</v>
      </c>
      <c r="F87" s="6">
        <f>D87*E87</f>
        <v>526.67700000000002</v>
      </c>
      <c r="G87" s="4">
        <f>F87/$F$95</f>
        <v>1.4892515418195933E-3</v>
      </c>
      <c r="H87" s="4">
        <f t="shared" si="3"/>
        <v>0.99341183266462962</v>
      </c>
      <c r="I87" s="6">
        <v>50</v>
      </c>
      <c r="J87" s="6">
        <f t="shared" si="2"/>
        <v>2.7882899999999999</v>
      </c>
      <c r="K87">
        <v>24</v>
      </c>
    </row>
    <row r="88" spans="1:11" x14ac:dyDescent="0.3">
      <c r="A88">
        <v>83</v>
      </c>
      <c r="B88" s="1" t="s">
        <v>74</v>
      </c>
      <c r="C88">
        <v>82</v>
      </c>
      <c r="D88">
        <v>94</v>
      </c>
      <c r="E88" s="6">
        <v>5.0465999999999998</v>
      </c>
      <c r="F88" s="6">
        <f>D88*E88</f>
        <v>474.38039999999995</v>
      </c>
      <c r="G88" s="4">
        <f>F88/$F$95</f>
        <v>1.3413757238478143E-3</v>
      </c>
      <c r="H88" s="4">
        <f t="shared" si="3"/>
        <v>0.99475320838847747</v>
      </c>
      <c r="I88" s="6">
        <v>15</v>
      </c>
      <c r="J88" s="6">
        <f t="shared" si="2"/>
        <v>0.90838799999999997</v>
      </c>
      <c r="K88">
        <v>24</v>
      </c>
    </row>
    <row r="89" spans="1:11" x14ac:dyDescent="0.3">
      <c r="A89">
        <v>84</v>
      </c>
      <c r="B89" s="1" t="s">
        <v>70</v>
      </c>
      <c r="C89">
        <v>111</v>
      </c>
      <c r="D89">
        <v>105</v>
      </c>
      <c r="E89" s="6">
        <v>4.5043199999999999</v>
      </c>
      <c r="F89" s="6">
        <f>D89*E89</f>
        <v>472.95359999999999</v>
      </c>
      <c r="G89" s="4">
        <f>F89/$F$95</f>
        <v>1.3373412509168374E-3</v>
      </c>
      <c r="H89" s="4">
        <f t="shared" si="3"/>
        <v>0.99609054963939436</v>
      </c>
      <c r="I89" s="6">
        <v>0</v>
      </c>
      <c r="J89" s="6">
        <f t="shared" si="2"/>
        <v>0.81077759999999999</v>
      </c>
      <c r="K89">
        <v>24</v>
      </c>
    </row>
    <row r="90" spans="1:11" x14ac:dyDescent="0.3">
      <c r="A90">
        <v>85</v>
      </c>
      <c r="B90" s="1" t="s">
        <v>69</v>
      </c>
      <c r="C90">
        <v>82</v>
      </c>
      <c r="D90">
        <v>96</v>
      </c>
      <c r="E90" s="6">
        <v>4.5007499999999991</v>
      </c>
      <c r="F90" s="6">
        <f>D90*E90</f>
        <v>432.07199999999989</v>
      </c>
      <c r="G90" s="4">
        <f>F90/$F$95</f>
        <v>1.2217429129752679E-3</v>
      </c>
      <c r="H90" s="4">
        <f t="shared" si="3"/>
        <v>0.99731229255236964</v>
      </c>
      <c r="I90" s="6">
        <v>15</v>
      </c>
      <c r="J90" s="6">
        <f t="shared" si="2"/>
        <v>0.81013499999999983</v>
      </c>
      <c r="K90">
        <v>24</v>
      </c>
    </row>
    <row r="91" spans="1:11" x14ac:dyDescent="0.3">
      <c r="A91">
        <v>86</v>
      </c>
      <c r="B91" s="1" t="s">
        <v>12</v>
      </c>
      <c r="C91">
        <v>20</v>
      </c>
      <c r="D91">
        <v>10</v>
      </c>
      <c r="E91" s="6">
        <v>29.337000000000003</v>
      </c>
      <c r="F91" s="6">
        <f>D91*E91</f>
        <v>293.37</v>
      </c>
      <c r="G91" s="4">
        <f>F91/$F$95</f>
        <v>8.2954396114433347E-4</v>
      </c>
      <c r="H91" s="4">
        <f t="shared" si="3"/>
        <v>0.99814183651351396</v>
      </c>
      <c r="I91" s="6">
        <v>60</v>
      </c>
      <c r="J91" s="6">
        <f t="shared" si="2"/>
        <v>5.2806600000000001</v>
      </c>
      <c r="K91">
        <v>24</v>
      </c>
    </row>
    <row r="92" spans="1:11" x14ac:dyDescent="0.3">
      <c r="A92">
        <v>87</v>
      </c>
      <c r="B92" s="1" t="s">
        <v>73</v>
      </c>
      <c r="C92">
        <v>94</v>
      </c>
      <c r="D92">
        <v>95</v>
      </c>
      <c r="E92" s="6">
        <v>2.8050000000000002</v>
      </c>
      <c r="F92" s="6">
        <f>D92*E92</f>
        <v>266.47500000000002</v>
      </c>
      <c r="G92" s="4">
        <f>F92/$F$95</f>
        <v>7.534946553701342E-4</v>
      </c>
      <c r="H92" s="4">
        <f t="shared" si="3"/>
        <v>0.99889533116888407</v>
      </c>
      <c r="I92" s="6">
        <v>15</v>
      </c>
      <c r="J92" s="6">
        <f t="shared" si="2"/>
        <v>0.50490000000000002</v>
      </c>
      <c r="K92">
        <v>24</v>
      </c>
    </row>
    <row r="93" spans="1:11" x14ac:dyDescent="0.3">
      <c r="A93">
        <v>88</v>
      </c>
      <c r="B93" s="1" t="s">
        <v>72</v>
      </c>
      <c r="C93">
        <v>79</v>
      </c>
      <c r="D93">
        <v>95</v>
      </c>
      <c r="E93" s="6">
        <v>2.5019</v>
      </c>
      <c r="F93" s="6">
        <f>D93*E93</f>
        <v>237.68049999999999</v>
      </c>
      <c r="G93" s="4">
        <f>F93/$F$95</f>
        <v>6.7207425250286577E-4</v>
      </c>
      <c r="H93" s="4">
        <f t="shared" si="3"/>
        <v>0.99956740542138689</v>
      </c>
      <c r="I93" s="6">
        <v>15</v>
      </c>
      <c r="J93" s="6">
        <f t="shared" si="2"/>
        <v>0.45034199999999996</v>
      </c>
      <c r="K93">
        <v>24</v>
      </c>
    </row>
    <row r="94" spans="1:11" x14ac:dyDescent="0.3">
      <c r="A94">
        <v>89</v>
      </c>
      <c r="B94" s="1" t="s">
        <v>71</v>
      </c>
      <c r="C94">
        <v>72</v>
      </c>
      <c r="D94">
        <v>76</v>
      </c>
      <c r="E94" s="6">
        <v>2.0129999999999999</v>
      </c>
      <c r="F94" s="6">
        <f>D94*E94</f>
        <v>152.988</v>
      </c>
      <c r="G94" s="4">
        <f>F94/$F$95</f>
        <v>4.3259457861250054E-4</v>
      </c>
      <c r="H94" s="4">
        <f t="shared" si="3"/>
        <v>0.99999999999999944</v>
      </c>
      <c r="I94" s="6">
        <v>15</v>
      </c>
      <c r="J94" s="6">
        <f t="shared" si="2"/>
        <v>0.36234</v>
      </c>
      <c r="K94">
        <v>24</v>
      </c>
    </row>
    <row r="95" spans="1:11" x14ac:dyDescent="0.3">
      <c r="E95" s="6">
        <v>5241.7202699999998</v>
      </c>
      <c r="F95" s="6">
        <f>SUM(F6:F94)</f>
        <v>353652.14351666672</v>
      </c>
    </row>
  </sheetData>
  <sortState xmlns:xlrd2="http://schemas.microsoft.com/office/spreadsheetml/2017/richdata2" ref="B6:G94">
    <sortCondition descending="1" ref="G6:G9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Pisfil</dc:creator>
  <cp:lastModifiedBy>Cesar Pisfil</cp:lastModifiedBy>
  <cp:lastPrinted>2025-07-17T08:15:41Z</cp:lastPrinted>
  <dcterms:created xsi:type="dcterms:W3CDTF">2025-07-17T08:01:23Z</dcterms:created>
  <dcterms:modified xsi:type="dcterms:W3CDTF">2025-08-04T22:44:01Z</dcterms:modified>
</cp:coreProperties>
</file>